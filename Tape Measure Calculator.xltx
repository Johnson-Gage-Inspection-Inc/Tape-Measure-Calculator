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/>
  <workbookPr updateLinks="never" defaultThemeVersion="124226"/>
  <mc:AlternateContent xmlns:mc="http://schemas.openxmlformats.org/markup-compatibility/2006">
    <mc:Choice Requires="x15">
      <x15ac:absPath xmlns:x15ac="http://schemas.microsoft.com/office/spreadsheetml/2010/11/ac" url="C:\Users\rhyth\Desktop\sandbox\JGI\Tape-Measure-Calculator\"/>
    </mc:Choice>
  </mc:AlternateContent>
  <xr:revisionPtr revIDLastSave="0" documentId="8_{76E7B65B-BC71-4436-860B-83D5BD25EE5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alculator" sheetId="4" r:id="rId1"/>
    <sheet name="TMTF3 no comps" sheetId="5" r:id="rId2"/>
    <sheet name="Raw Data, 2022" sheetId="9" r:id="rId3"/>
    <sheet name="CTE Determination" sheetId="1" r:id="rId4"/>
    <sheet name="Software Validation" sheetId="7" r:id="rId5"/>
    <sheet name="Datasheet for TMTF cert" sheetId="8" r:id="rId6"/>
  </sheets>
  <externalReferences>
    <externalReference r:id="rId7"/>
  </externalReferenc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8" l="1"/>
  <c r="R9" i="5"/>
  <c r="R11" i="5"/>
  <c r="R12" i="5"/>
  <c r="R13" i="5"/>
  <c r="R14" i="5"/>
  <c r="R15" i="5"/>
  <c r="R16" i="5"/>
  <c r="N16" i="5"/>
  <c r="O12" i="5"/>
  <c r="O13" i="5"/>
  <c r="O14" i="5"/>
  <c r="O15" i="5"/>
  <c r="O16" i="5"/>
  <c r="N13" i="5"/>
  <c r="N14" i="5"/>
  <c r="N15" i="5"/>
  <c r="N12" i="5"/>
  <c r="M4" i="5"/>
  <c r="J20" i="9"/>
  <c r="J21" i="9" s="1"/>
  <c r="J19" i="9"/>
  <c r="L19" i="9"/>
  <c r="J18" i="9"/>
  <c r="L18" i="9" s="1"/>
  <c r="L20" i="9"/>
  <c r="L17" i="9"/>
  <c r="L16" i="9"/>
  <c r="M16" i="9" s="1"/>
  <c r="L15" i="9"/>
  <c r="L14" i="9"/>
  <c r="L13" i="9"/>
  <c r="L12" i="9"/>
  <c r="L11" i="9"/>
  <c r="L10" i="9"/>
  <c r="L9" i="9"/>
  <c r="M9" i="9" s="1"/>
  <c r="L8" i="9"/>
  <c r="M8" i="9" s="1"/>
  <c r="L7" i="9"/>
  <c r="M7" i="9" s="1"/>
  <c r="L6" i="9"/>
  <c r="M6" i="9" s="1"/>
  <c r="L5" i="9"/>
  <c r="M5" i="9" s="1"/>
  <c r="L4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5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4" i="9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6" i="5"/>
  <c r="CB16" i="4"/>
  <c r="CB17" i="4"/>
  <c r="CB18" i="4"/>
  <c r="CB19" i="4"/>
  <c r="CB20" i="4"/>
  <c r="CB21" i="4"/>
  <c r="CB22" i="4"/>
  <c r="CB23" i="4"/>
  <c r="CB24" i="4"/>
  <c r="CB25" i="4"/>
  <c r="CB26" i="4"/>
  <c r="CB27" i="4"/>
  <c r="CB28" i="4"/>
  <c r="CB29" i="4"/>
  <c r="CB30" i="4"/>
  <c r="CB31" i="4"/>
  <c r="CB32" i="4"/>
  <c r="CB10" i="4"/>
  <c r="CB11" i="4"/>
  <c r="CB12" i="4"/>
  <c r="CB13" i="4"/>
  <c r="CB14" i="4"/>
  <c r="CB15" i="4"/>
  <c r="CB9" i="4"/>
  <c r="J22" i="9" l="1"/>
  <c r="L21" i="9"/>
  <c r="M21" i="9" s="1"/>
  <c r="M20" i="9"/>
  <c r="M19" i="9"/>
  <c r="M18" i="9"/>
  <c r="M17" i="9"/>
  <c r="M15" i="9"/>
  <c r="M14" i="9"/>
  <c r="M13" i="9"/>
  <c r="M12" i="9"/>
  <c r="M11" i="9"/>
  <c r="M10" i="9"/>
  <c r="AL9" i="4"/>
  <c r="S10" i="4"/>
  <c r="S9" i="4"/>
  <c r="M9" i="4"/>
  <c r="L22" i="9" l="1"/>
  <c r="M22" i="9" s="1"/>
  <c r="J23" i="9"/>
  <c r="AC10" i="4"/>
  <c r="AF10" i="4" s="1"/>
  <c r="AG10" i="4" s="1"/>
  <c r="M10" i="4"/>
  <c r="AC9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P18" i="4"/>
  <c r="AC19" i="4"/>
  <c r="AF19" i="4"/>
  <c r="AG19" i="4" s="1"/>
  <c r="AC20" i="4"/>
  <c r="AF20" i="4"/>
  <c r="AG20" i="4" s="1"/>
  <c r="AC21" i="4"/>
  <c r="AF21" i="4"/>
  <c r="AG21" i="4" s="1"/>
  <c r="AC22" i="4"/>
  <c r="AF22" i="4"/>
  <c r="AG22" i="4" s="1"/>
  <c r="AC23" i="4"/>
  <c r="AF23" i="4"/>
  <c r="AG23" i="4" s="1"/>
  <c r="AC24" i="4"/>
  <c r="AF24" i="4"/>
  <c r="AG24" i="4" s="1"/>
  <c r="AC25" i="4"/>
  <c r="AF25" i="4"/>
  <c r="AG25" i="4" s="1"/>
  <c r="AC26" i="4"/>
  <c r="P26" i="4"/>
  <c r="AF26" i="4"/>
  <c r="AG26" i="4" s="1"/>
  <c r="AC27" i="4"/>
  <c r="AF27" i="4"/>
  <c r="AG27" i="4" s="1"/>
  <c r="AC28" i="4"/>
  <c r="AF28" i="4"/>
  <c r="AG28" i="4" s="1"/>
  <c r="AC29" i="4"/>
  <c r="AF29" i="4"/>
  <c r="AG29" i="4" s="1"/>
  <c r="AC30" i="4"/>
  <c r="AF30" i="4"/>
  <c r="AG30" i="4" s="1"/>
  <c r="AC31" i="4"/>
  <c r="AF31" i="4"/>
  <c r="AG31" i="4" s="1"/>
  <c r="AC32" i="4"/>
  <c r="AF32" i="4"/>
  <c r="AG32" i="4" s="1"/>
  <c r="AD14" i="4"/>
  <c r="O14" i="4"/>
  <c r="S14" i="4"/>
  <c r="Y14" i="4" s="1"/>
  <c r="U14" i="4"/>
  <c r="X14" i="4" s="1"/>
  <c r="AA14" i="4" s="1"/>
  <c r="N12" i="4"/>
  <c r="U13" i="4"/>
  <c r="X13" i="4" s="1"/>
  <c r="AA13" i="4" s="1"/>
  <c r="AR9" i="4"/>
  <c r="Q9" i="4" s="1"/>
  <c r="BZ15" i="4"/>
  <c r="AL14" i="4"/>
  <c r="BH14" i="4" s="1"/>
  <c r="AD11" i="4"/>
  <c r="AS11" i="4" s="1"/>
  <c r="AU11" i="4" s="1"/>
  <c r="AD10" i="4"/>
  <c r="AL10" i="4" s="1"/>
  <c r="BH10" i="4" s="1"/>
  <c r="BZ9" i="4"/>
  <c r="BH9" i="4"/>
  <c r="AB9" i="4" s="1"/>
  <c r="H9" i="4" s="1"/>
  <c r="BZ14" i="4"/>
  <c r="BZ13" i="4"/>
  <c r="BZ12" i="4"/>
  <c r="BZ11" i="4"/>
  <c r="BZ10" i="4"/>
  <c r="AD17" i="4"/>
  <c r="AD12" i="4"/>
  <c r="AD13" i="4"/>
  <c r="AE13" i="4" s="1"/>
  <c r="AD15" i="4"/>
  <c r="AD16" i="4"/>
  <c r="AD9" i="4"/>
  <c r="AS9" i="4" s="1"/>
  <c r="AU9" i="4" s="1"/>
  <c r="I9" i="4" s="1"/>
  <c r="U10" i="4"/>
  <c r="AA10" i="4"/>
  <c r="U11" i="4"/>
  <c r="AA11" i="4" s="1"/>
  <c r="U12" i="4"/>
  <c r="X12" i="4" s="1"/>
  <c r="B55" i="5"/>
  <c r="B56" i="5"/>
  <c r="B57" i="5"/>
  <c r="I4" i="5"/>
  <c r="C42" i="5" s="1"/>
  <c r="D42" i="5" s="1"/>
  <c r="I5" i="5"/>
  <c r="B17" i="5"/>
  <c r="B18" i="5"/>
  <c r="B19" i="5"/>
  <c r="B58" i="5"/>
  <c r="B20" i="5"/>
  <c r="B59" i="5"/>
  <c r="B21" i="5"/>
  <c r="B60" i="5"/>
  <c r="B22" i="5"/>
  <c r="B61" i="5"/>
  <c r="B23" i="5"/>
  <c r="B62" i="5"/>
  <c r="B24" i="5"/>
  <c r="B63" i="5"/>
  <c r="B25" i="5"/>
  <c r="B64" i="5"/>
  <c r="B26" i="5"/>
  <c r="B65" i="5"/>
  <c r="B27" i="5"/>
  <c r="B66" i="5"/>
  <c r="B28" i="5"/>
  <c r="B67" i="5"/>
  <c r="B29" i="5"/>
  <c r="B68" i="5"/>
  <c r="B30" i="5"/>
  <c r="B69" i="5"/>
  <c r="B31" i="5"/>
  <c r="B70" i="5"/>
  <c r="B32" i="5"/>
  <c r="B71" i="5"/>
  <c r="B33" i="5"/>
  <c r="B72" i="5"/>
  <c r="B34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R18" i="1"/>
  <c r="I6" i="1"/>
  <c r="I6" i="4"/>
  <c r="U15" i="4"/>
  <c r="X15" i="4"/>
  <c r="AA15" i="4"/>
  <c r="U16" i="4"/>
  <c r="X16" i="4" s="1"/>
  <c r="AA16" i="4" s="1"/>
  <c r="U17" i="4"/>
  <c r="X17" i="4"/>
  <c r="AA17" i="4" s="1"/>
  <c r="U18" i="4"/>
  <c r="X18" i="4" s="1"/>
  <c r="AA18" i="4" s="1"/>
  <c r="U19" i="4"/>
  <c r="AA19" i="4"/>
  <c r="U20" i="4"/>
  <c r="AA20" i="4"/>
  <c r="U21" i="4"/>
  <c r="AA21" i="4"/>
  <c r="U22" i="4"/>
  <c r="AA22" i="4"/>
  <c r="U23" i="4"/>
  <c r="AA23" i="4"/>
  <c r="U24" i="4"/>
  <c r="AA24" i="4"/>
  <c r="U25" i="4"/>
  <c r="AA25" i="4"/>
  <c r="U26" i="4"/>
  <c r="AA26" i="4"/>
  <c r="U27" i="4"/>
  <c r="AA27" i="4"/>
  <c r="U28" i="4"/>
  <c r="AA28" i="4"/>
  <c r="U29" i="4"/>
  <c r="AA29" i="4"/>
  <c r="U30" i="4"/>
  <c r="AA30" i="4"/>
  <c r="U31" i="4"/>
  <c r="AA31" i="4"/>
  <c r="U32" i="4"/>
  <c r="AA32" i="4"/>
  <c r="U9" i="4"/>
  <c r="AA9" i="4"/>
  <c r="T10" i="4"/>
  <c r="Z10" i="4"/>
  <c r="T11" i="4"/>
  <c r="Z11" i="4" s="1"/>
  <c r="T12" i="4"/>
  <c r="W12" i="4" s="1"/>
  <c r="Z12" i="4" s="1"/>
  <c r="T13" i="4"/>
  <c r="Z13" i="4" s="1"/>
  <c r="W13" i="4"/>
  <c r="T14" i="4"/>
  <c r="Z14" i="4"/>
  <c r="T15" i="4"/>
  <c r="W15" i="4"/>
  <c r="Z15" i="4"/>
  <c r="T16" i="4"/>
  <c r="Z16" i="4"/>
  <c r="T17" i="4"/>
  <c r="Z17" i="4" s="1"/>
  <c r="T18" i="4"/>
  <c r="Z18" i="4" s="1"/>
  <c r="T19" i="4"/>
  <c r="Z19" i="4"/>
  <c r="T20" i="4"/>
  <c r="Z20" i="4"/>
  <c r="T21" i="4"/>
  <c r="Z21" i="4"/>
  <c r="T22" i="4"/>
  <c r="Z22" i="4"/>
  <c r="T23" i="4"/>
  <c r="Z23" i="4"/>
  <c r="T24" i="4"/>
  <c r="Z24" i="4"/>
  <c r="T25" i="4"/>
  <c r="Z25" i="4"/>
  <c r="T26" i="4"/>
  <c r="Z26" i="4"/>
  <c r="T27" i="4"/>
  <c r="Z27" i="4"/>
  <c r="T28" i="4"/>
  <c r="Z28" i="4"/>
  <c r="T29" i="4"/>
  <c r="Z29" i="4"/>
  <c r="T30" i="4"/>
  <c r="Z30" i="4"/>
  <c r="T31" i="4"/>
  <c r="Z31" i="4"/>
  <c r="T32" i="4"/>
  <c r="Z32" i="4"/>
  <c r="T9" i="4"/>
  <c r="Z9" i="4"/>
  <c r="S11" i="4"/>
  <c r="V11" i="4" s="1"/>
  <c r="S12" i="4"/>
  <c r="V12" i="4" s="1"/>
  <c r="S13" i="4"/>
  <c r="V13" i="4" s="1"/>
  <c r="V14" i="4"/>
  <c r="S15" i="4"/>
  <c r="V15" i="4"/>
  <c r="Y15" i="4"/>
  <c r="S16" i="4"/>
  <c r="Y16" i="4" s="1"/>
  <c r="V16" i="4"/>
  <c r="S17" i="4"/>
  <c r="V17" i="4"/>
  <c r="Y17" i="4"/>
  <c r="S18" i="4"/>
  <c r="V18" i="4" s="1"/>
  <c r="S19" i="4"/>
  <c r="Y19" i="4"/>
  <c r="S20" i="4"/>
  <c r="Y20" i="4"/>
  <c r="S21" i="4"/>
  <c r="Y21" i="4"/>
  <c r="S22" i="4"/>
  <c r="Y22" i="4"/>
  <c r="S23" i="4"/>
  <c r="Y23" i="4"/>
  <c r="S24" i="4"/>
  <c r="Y24" i="4"/>
  <c r="S25" i="4"/>
  <c r="Y25" i="4"/>
  <c r="S26" i="4"/>
  <c r="Y26" i="4"/>
  <c r="S27" i="4"/>
  <c r="Y27" i="4"/>
  <c r="S28" i="4"/>
  <c r="Y28" i="4"/>
  <c r="S29" i="4"/>
  <c r="Y29" i="4"/>
  <c r="S30" i="4"/>
  <c r="Y30" i="4"/>
  <c r="S31" i="4"/>
  <c r="Y31" i="4"/>
  <c r="S32" i="4"/>
  <c r="Y32" i="4"/>
  <c r="O9" i="5"/>
  <c r="O10" i="5"/>
  <c r="O11" i="5"/>
  <c r="O8" i="5"/>
  <c r="O7" i="5"/>
  <c r="R8" i="5"/>
  <c r="R10" i="5"/>
  <c r="R7" i="5"/>
  <c r="N9" i="4"/>
  <c r="O9" i="4"/>
  <c r="V9" i="4"/>
  <c r="Y9" i="4" s="1"/>
  <c r="N4" i="5"/>
  <c r="AD18" i="4"/>
  <c r="AD19" i="4"/>
  <c r="AL19" i="4"/>
  <c r="BH19" i="4" s="1"/>
  <c r="AD20" i="4"/>
  <c r="AL20" i="4"/>
  <c r="BH20" i="4" s="1"/>
  <c r="AD21" i="4"/>
  <c r="AL21" i="4"/>
  <c r="BH21" i="4" s="1"/>
  <c r="AD22" i="4"/>
  <c r="AL22" i="4"/>
  <c r="BH22" i="4" s="1"/>
  <c r="AD23" i="4"/>
  <c r="AL23" i="4"/>
  <c r="BH23" i="4"/>
  <c r="BG23" i="4" s="1"/>
  <c r="AD24" i="4"/>
  <c r="AL24" i="4"/>
  <c r="BH24" i="4" s="1"/>
  <c r="AD25" i="4"/>
  <c r="AL25" i="4"/>
  <c r="BH25" i="4" s="1"/>
  <c r="AD26" i="4"/>
  <c r="AL26" i="4"/>
  <c r="BH26" i="4" s="1"/>
  <c r="AD27" i="4"/>
  <c r="AL27" i="4"/>
  <c r="BH27" i="4" s="1"/>
  <c r="AD28" i="4"/>
  <c r="AL28" i="4"/>
  <c r="BH28" i="4" s="1"/>
  <c r="AD29" i="4"/>
  <c r="AL29" i="4"/>
  <c r="BH29" i="4" s="1"/>
  <c r="BG29" i="4" s="1"/>
  <c r="AW30" i="4"/>
  <c r="BE30" i="4"/>
  <c r="AD30" i="4"/>
  <c r="AL30" i="4"/>
  <c r="BH30" i="4" s="1"/>
  <c r="AW32" i="4"/>
  <c r="BE32" i="4"/>
  <c r="BF32" i="4" s="1"/>
  <c r="AD32" i="4"/>
  <c r="AL32" i="4"/>
  <c r="BH32" i="4" s="1"/>
  <c r="AW31" i="4"/>
  <c r="BE31" i="4"/>
  <c r="BF31" i="4" s="1"/>
  <c r="AD31" i="4"/>
  <c r="AL31" i="4"/>
  <c r="BH31" i="4" s="1"/>
  <c r="AS28" i="4"/>
  <c r="AW10" i="4"/>
  <c r="AV10" i="4" s="1"/>
  <c r="BQ10" i="4"/>
  <c r="BR10" i="4"/>
  <c r="BP10" i="4"/>
  <c r="D5" i="4"/>
  <c r="C5" i="4" s="1"/>
  <c r="AR10" i="4"/>
  <c r="R10" i="4" s="1"/>
  <c r="BK10" i="4"/>
  <c r="BL10" i="4"/>
  <c r="BJ10" i="4"/>
  <c r="J6" i="4"/>
  <c r="BV10" i="4"/>
  <c r="BW10" i="4"/>
  <c r="BX10" i="4"/>
  <c r="AW11" i="4"/>
  <c r="BQ11" i="4"/>
  <c r="BR11" i="4"/>
  <c r="BP11" i="4"/>
  <c r="AR11" i="4"/>
  <c r="AQ11" i="4" s="1"/>
  <c r="BK11" i="4"/>
  <c r="BL11" i="4"/>
  <c r="BJ11" i="4"/>
  <c r="BW11" i="4"/>
  <c r="BX11" i="4"/>
  <c r="AW12" i="4"/>
  <c r="AV12" i="4" s="1"/>
  <c r="BQ12" i="4"/>
  <c r="BR12" i="4"/>
  <c r="BP12" i="4"/>
  <c r="BV12" i="4" s="1"/>
  <c r="AR12" i="4"/>
  <c r="P12" i="4" s="1"/>
  <c r="BK12" i="4"/>
  <c r="BL12" i="4"/>
  <c r="BJ12" i="4"/>
  <c r="BX12" i="4"/>
  <c r="AW13" i="4"/>
  <c r="BE13" i="4" s="1"/>
  <c r="BF13" i="4" s="1"/>
  <c r="BQ13" i="4"/>
  <c r="BW13" i="4" s="1"/>
  <c r="BR13" i="4"/>
  <c r="BP13" i="4"/>
  <c r="AR13" i="4"/>
  <c r="R13" i="4" s="1"/>
  <c r="BK13" i="4"/>
  <c r="BL13" i="4"/>
  <c r="BJ13" i="4"/>
  <c r="BV13" i="4"/>
  <c r="AW14" i="4"/>
  <c r="BQ14" i="4"/>
  <c r="BW14" i="4" s="1"/>
  <c r="BR14" i="4"/>
  <c r="BP14" i="4"/>
  <c r="AR14" i="4"/>
  <c r="AQ14" i="4" s="1"/>
  <c r="BK14" i="4"/>
  <c r="BL14" i="4"/>
  <c r="BJ14" i="4"/>
  <c r="BV14" i="4"/>
  <c r="AW15" i="4"/>
  <c r="BQ15" i="4"/>
  <c r="BR15" i="4"/>
  <c r="BP15" i="4"/>
  <c r="BV15" i="4" s="1"/>
  <c r="AR15" i="4"/>
  <c r="AQ15" i="4" s="1"/>
  <c r="BK15" i="4"/>
  <c r="BL15" i="4"/>
  <c r="BJ15" i="4"/>
  <c r="BW15" i="4"/>
  <c r="BP16" i="4"/>
  <c r="AV16" i="4" s="1"/>
  <c r="AW16" i="4"/>
  <c r="BQ16" i="4"/>
  <c r="BW16" i="4" s="1"/>
  <c r="BR16" i="4"/>
  <c r="AR16" i="4"/>
  <c r="AQ16" i="4" s="1"/>
  <c r="BJ16" i="4"/>
  <c r="BK16" i="4"/>
  <c r="BL16" i="4"/>
  <c r="BV16" i="4"/>
  <c r="BP17" i="4"/>
  <c r="BQ17" i="4"/>
  <c r="BR17" i="4"/>
  <c r="AW17" i="4"/>
  <c r="AV17" i="4" s="1"/>
  <c r="AR17" i="4"/>
  <c r="P17" i="4" s="1"/>
  <c r="BJ17" i="4"/>
  <c r="BK17" i="4"/>
  <c r="BL17" i="4"/>
  <c r="BV17" i="4"/>
  <c r="BW17" i="4"/>
  <c r="BP18" i="4"/>
  <c r="AV18" i="4" s="1"/>
  <c r="BQ18" i="4"/>
  <c r="BR18" i="4"/>
  <c r="AW18" i="4"/>
  <c r="AR18" i="4"/>
  <c r="Q18" i="4" s="1"/>
  <c r="AQ18" i="4"/>
  <c r="BJ18" i="4"/>
  <c r="BK18" i="4"/>
  <c r="BL18" i="4"/>
  <c r="BW18" i="4"/>
  <c r="BP19" i="4"/>
  <c r="BQ19" i="4"/>
  <c r="BR19" i="4"/>
  <c r="AW19" i="4"/>
  <c r="AV19" i="4"/>
  <c r="AR19" i="4"/>
  <c r="AE19" i="4" s="1"/>
  <c r="BJ19" i="4"/>
  <c r="BK19" i="4"/>
  <c r="BL19" i="4"/>
  <c r="BV19" i="4"/>
  <c r="BW19" i="4"/>
  <c r="BX19" i="4"/>
  <c r="BP20" i="4"/>
  <c r="BQ20" i="4"/>
  <c r="BR20" i="4"/>
  <c r="AW20" i="4"/>
  <c r="AV20" i="4"/>
  <c r="AR20" i="4"/>
  <c r="AE20" i="4" s="1"/>
  <c r="BJ20" i="4"/>
  <c r="BK20" i="4"/>
  <c r="BL20" i="4"/>
  <c r="BV20" i="4"/>
  <c r="BW20" i="4"/>
  <c r="BX20" i="4"/>
  <c r="BP21" i="4"/>
  <c r="BQ21" i="4"/>
  <c r="BR21" i="4"/>
  <c r="AW21" i="4"/>
  <c r="AV21" i="4"/>
  <c r="AR21" i="4"/>
  <c r="AE21" i="4" s="1"/>
  <c r="AQ21" i="4"/>
  <c r="BJ21" i="4"/>
  <c r="BK21" i="4"/>
  <c r="BL21" i="4"/>
  <c r="BV21" i="4"/>
  <c r="BW21" i="4"/>
  <c r="BX21" i="4"/>
  <c r="BP22" i="4"/>
  <c r="BQ22" i="4"/>
  <c r="BR22" i="4"/>
  <c r="AW22" i="4"/>
  <c r="AV22" i="4"/>
  <c r="AR22" i="4"/>
  <c r="AE22" i="4" s="1"/>
  <c r="AQ22" i="4"/>
  <c r="BJ22" i="4"/>
  <c r="BK22" i="4"/>
  <c r="BL22" i="4"/>
  <c r="BV22" i="4"/>
  <c r="BW22" i="4"/>
  <c r="BX22" i="4"/>
  <c r="BP23" i="4"/>
  <c r="BQ23" i="4"/>
  <c r="BR23" i="4"/>
  <c r="AW23" i="4"/>
  <c r="AV23" i="4"/>
  <c r="AR23" i="4"/>
  <c r="AE23" i="4" s="1"/>
  <c r="BJ23" i="4"/>
  <c r="BK23" i="4"/>
  <c r="BL23" i="4"/>
  <c r="BV23" i="4"/>
  <c r="BW23" i="4"/>
  <c r="BX23" i="4"/>
  <c r="BP24" i="4"/>
  <c r="BQ24" i="4"/>
  <c r="BR24" i="4"/>
  <c r="AW24" i="4"/>
  <c r="AV24" i="4"/>
  <c r="AR24" i="4"/>
  <c r="AE24" i="4" s="1"/>
  <c r="BJ24" i="4"/>
  <c r="BK24" i="4"/>
  <c r="BL24" i="4"/>
  <c r="BV24" i="4"/>
  <c r="BW24" i="4"/>
  <c r="BX24" i="4"/>
  <c r="BP25" i="4"/>
  <c r="BQ25" i="4"/>
  <c r="BR25" i="4"/>
  <c r="AW25" i="4"/>
  <c r="AV25" i="4"/>
  <c r="AR25" i="4"/>
  <c r="AE25" i="4" s="1"/>
  <c r="BJ25" i="4"/>
  <c r="BK25" i="4"/>
  <c r="BL25" i="4"/>
  <c r="BV25" i="4"/>
  <c r="BW25" i="4"/>
  <c r="BX25" i="4"/>
  <c r="BP26" i="4"/>
  <c r="BQ26" i="4"/>
  <c r="BR26" i="4"/>
  <c r="AW26" i="4"/>
  <c r="AV26" i="4"/>
  <c r="AR26" i="4"/>
  <c r="AE26" i="4" s="1"/>
  <c r="AQ26" i="4"/>
  <c r="BJ26" i="4"/>
  <c r="BK26" i="4"/>
  <c r="BL26" i="4"/>
  <c r="BV26" i="4"/>
  <c r="BW26" i="4"/>
  <c r="BX26" i="4"/>
  <c r="BP27" i="4"/>
  <c r="BQ27" i="4"/>
  <c r="BR27" i="4"/>
  <c r="AW27" i="4"/>
  <c r="AV27" i="4"/>
  <c r="AR27" i="4"/>
  <c r="AE27" i="4" s="1"/>
  <c r="BJ27" i="4"/>
  <c r="BK27" i="4"/>
  <c r="BL27" i="4"/>
  <c r="BV27" i="4"/>
  <c r="BW27" i="4"/>
  <c r="BX27" i="4"/>
  <c r="BP28" i="4"/>
  <c r="BQ28" i="4"/>
  <c r="BR28" i="4"/>
  <c r="AW28" i="4"/>
  <c r="AV28" i="4"/>
  <c r="AR28" i="4"/>
  <c r="AE28" i="4" s="1"/>
  <c r="AQ28" i="4"/>
  <c r="BJ28" i="4"/>
  <c r="BK28" i="4"/>
  <c r="BL28" i="4"/>
  <c r="BV28" i="4"/>
  <c r="BW28" i="4"/>
  <c r="BX28" i="4"/>
  <c r="BP29" i="4"/>
  <c r="BQ29" i="4"/>
  <c r="BR29" i="4"/>
  <c r="AW29" i="4"/>
  <c r="AV29" i="4"/>
  <c r="AR29" i="4"/>
  <c r="AE29" i="4" s="1"/>
  <c r="AQ29" i="4"/>
  <c r="BJ29" i="4"/>
  <c r="BK29" i="4"/>
  <c r="BL29" i="4"/>
  <c r="BV29" i="4"/>
  <c r="BW29" i="4"/>
  <c r="BX29" i="4"/>
  <c r="BP30" i="4"/>
  <c r="BQ30" i="4"/>
  <c r="BR30" i="4"/>
  <c r="AV30" i="4"/>
  <c r="AR30" i="4"/>
  <c r="AE30" i="4" s="1"/>
  <c r="AQ30" i="4"/>
  <c r="BJ30" i="4"/>
  <c r="BK30" i="4"/>
  <c r="BL30" i="4"/>
  <c r="BV30" i="4"/>
  <c r="BW30" i="4"/>
  <c r="BX30" i="4"/>
  <c r="BP31" i="4"/>
  <c r="BQ31" i="4"/>
  <c r="BR31" i="4"/>
  <c r="AV31" i="4"/>
  <c r="AR31" i="4"/>
  <c r="AE31" i="4" s="1"/>
  <c r="AQ31" i="4"/>
  <c r="BJ31" i="4"/>
  <c r="BK31" i="4"/>
  <c r="BL31" i="4"/>
  <c r="BV31" i="4"/>
  <c r="BW31" i="4"/>
  <c r="BX31" i="4"/>
  <c r="BP32" i="4"/>
  <c r="BQ32" i="4"/>
  <c r="BR32" i="4"/>
  <c r="AV32" i="4"/>
  <c r="AR32" i="4"/>
  <c r="AE32" i="4" s="1"/>
  <c r="AQ32" i="4"/>
  <c r="BJ32" i="4"/>
  <c r="BK32" i="4"/>
  <c r="BL32" i="4"/>
  <c r="BV32" i="4"/>
  <c r="BW32" i="4"/>
  <c r="BX32" i="4"/>
  <c r="AW9" i="4"/>
  <c r="AV9" i="4" s="1"/>
  <c r="BQ9" i="4"/>
  <c r="BR9" i="4"/>
  <c r="BP9" i="4"/>
  <c r="BK9" i="4"/>
  <c r="BL9" i="4"/>
  <c r="BJ9" i="4"/>
  <c r="BV9" i="4"/>
  <c r="BW9" i="4"/>
  <c r="BX9" i="4"/>
  <c r="N10" i="4"/>
  <c r="O10" i="4"/>
  <c r="N11" i="4"/>
  <c r="O11" i="4"/>
  <c r="O12" i="4"/>
  <c r="N13" i="4"/>
  <c r="O13" i="4"/>
  <c r="N14" i="4"/>
  <c r="N15" i="4"/>
  <c r="O15" i="4"/>
  <c r="N16" i="4"/>
  <c r="O16" i="4"/>
  <c r="N17" i="4"/>
  <c r="O17" i="4"/>
  <c r="N18" i="4"/>
  <c r="O18" i="4"/>
  <c r="R18" i="4" s="1"/>
  <c r="N19" i="4"/>
  <c r="O19" i="4"/>
  <c r="N20" i="4"/>
  <c r="O20" i="4"/>
  <c r="N21" i="4"/>
  <c r="O21" i="4"/>
  <c r="N22" i="4"/>
  <c r="O22" i="4"/>
  <c r="N23" i="4"/>
  <c r="O23" i="4"/>
  <c r="N24" i="4"/>
  <c r="O24" i="4"/>
  <c r="N25" i="4"/>
  <c r="O25" i="4"/>
  <c r="N26" i="4"/>
  <c r="O26" i="4"/>
  <c r="N27" i="4"/>
  <c r="O27" i="4"/>
  <c r="N28" i="4"/>
  <c r="O28" i="4"/>
  <c r="N29" i="4"/>
  <c r="O29" i="4"/>
  <c r="N30" i="4"/>
  <c r="O30" i="4"/>
  <c r="N31" i="4"/>
  <c r="O31" i="4"/>
  <c r="N32" i="4"/>
  <c r="O32" i="4"/>
  <c r="W9" i="4"/>
  <c r="X9" i="4"/>
  <c r="W11" i="4"/>
  <c r="Q13" i="4"/>
  <c r="Q19" i="4"/>
  <c r="R19" i="4"/>
  <c r="Q20" i="4"/>
  <c r="V20" i="4"/>
  <c r="Q26" i="4"/>
  <c r="R26" i="4"/>
  <c r="R28" i="4"/>
  <c r="Q29" i="4"/>
  <c r="R29" i="4"/>
  <c r="Q31" i="4"/>
  <c r="R31" i="4"/>
  <c r="V32" i="4"/>
  <c r="Q25" i="4"/>
  <c r="Q17" i="4"/>
  <c r="Q21" i="4"/>
  <c r="V23" i="4"/>
  <c r="V24" i="4"/>
  <c r="W24" i="4"/>
  <c r="V25" i="4"/>
  <c r="W25" i="4"/>
  <c r="X25" i="4"/>
  <c r="V29" i="4"/>
  <c r="V30" i="4"/>
  <c r="W30" i="4"/>
  <c r="V31" i="4"/>
  <c r="W31" i="4"/>
  <c r="X31" i="4"/>
  <c r="Q22" i="4"/>
  <c r="V10" i="4"/>
  <c r="Y10" i="4" s="1"/>
  <c r="W10" i="4"/>
  <c r="X10" i="4"/>
  <c r="X11" i="4"/>
  <c r="W14" i="4"/>
  <c r="W16" i="4"/>
  <c r="W17" i="4"/>
  <c r="W18" i="4"/>
  <c r="V19" i="4"/>
  <c r="W19" i="4"/>
  <c r="X19" i="4"/>
  <c r="W20" i="4"/>
  <c r="X20" i="4"/>
  <c r="V21" i="4"/>
  <c r="W21" i="4"/>
  <c r="X21" i="4"/>
  <c r="V22" i="4"/>
  <c r="W22" i="4"/>
  <c r="X22" i="4"/>
  <c r="W23" i="4"/>
  <c r="X23" i="4"/>
  <c r="X24" i="4"/>
  <c r="V26" i="4"/>
  <c r="W26" i="4"/>
  <c r="X26" i="4"/>
  <c r="V27" i="4"/>
  <c r="W27" i="4"/>
  <c r="X27" i="4"/>
  <c r="V28" i="4"/>
  <c r="W28" i="4"/>
  <c r="X28" i="4"/>
  <c r="W29" i="4"/>
  <c r="X29" i="4"/>
  <c r="X30" i="4"/>
  <c r="W32" i="4"/>
  <c r="X32" i="4"/>
  <c r="AS23" i="4"/>
  <c r="AS24" i="4"/>
  <c r="AS25" i="4"/>
  <c r="AS26" i="4"/>
  <c r="AS27" i="4"/>
  <c r="AS29" i="4"/>
  <c r="AS30" i="4"/>
  <c r="AS31" i="4"/>
  <c r="AS32" i="4"/>
  <c r="AS12" i="4"/>
  <c r="AU12" i="4" s="1"/>
  <c r="I12" i="4" s="1"/>
  <c r="AS13" i="4"/>
  <c r="AS15" i="4"/>
  <c r="AU15" i="4" s="1"/>
  <c r="I15" i="4" s="1"/>
  <c r="AS16" i="4"/>
  <c r="AU16" i="4" s="1"/>
  <c r="I16" i="4" s="1"/>
  <c r="AS17" i="4"/>
  <c r="AS18" i="4"/>
  <c r="AU18" i="4" s="1"/>
  <c r="I18" i="4" s="1"/>
  <c r="AS19" i="4"/>
  <c r="AS20" i="4"/>
  <c r="AS22" i="4"/>
  <c r="AS21" i="4"/>
  <c r="BE28" i="4"/>
  <c r="BF28" i="4" s="1"/>
  <c r="AU29" i="4"/>
  <c r="AT29" i="4"/>
  <c r="I29" i="4"/>
  <c r="BE12" i="4"/>
  <c r="BF12" i="4" s="1"/>
  <c r="BE14" i="4"/>
  <c r="BF14" i="4" s="1"/>
  <c r="BE16" i="4"/>
  <c r="BF16" i="4" s="1"/>
  <c r="BE17" i="4"/>
  <c r="BE18" i="4"/>
  <c r="BF18" i="4" s="1"/>
  <c r="BE19" i="4"/>
  <c r="BF19" i="4" s="1"/>
  <c r="BE20" i="4"/>
  <c r="BE21" i="4"/>
  <c r="BE22" i="4"/>
  <c r="BF22" i="4" s="1"/>
  <c r="BE23" i="4"/>
  <c r="BF23" i="4" s="1"/>
  <c r="BE24" i="4"/>
  <c r="BF24" i="4" s="1"/>
  <c r="BE25" i="4"/>
  <c r="BF25" i="4" s="1"/>
  <c r="BE26" i="4"/>
  <c r="BE27" i="4"/>
  <c r="BF27" i="4" s="1"/>
  <c r="BE29" i="4"/>
  <c r="G2" i="4"/>
  <c r="BF17" i="4"/>
  <c r="BF20" i="4"/>
  <c r="BF21" i="4"/>
  <c r="BF26" i="4"/>
  <c r="BF29" i="4"/>
  <c r="BF30" i="4"/>
  <c r="AT18" i="4"/>
  <c r="AU19" i="4"/>
  <c r="AT19" i="4"/>
  <c r="I19" i="4"/>
  <c r="AU20" i="4"/>
  <c r="AT20" i="4"/>
  <c r="I20" i="4"/>
  <c r="AU21" i="4"/>
  <c r="AT21" i="4"/>
  <c r="I21" i="4"/>
  <c r="AU22" i="4"/>
  <c r="AT22" i="4"/>
  <c r="I22" i="4"/>
  <c r="AU23" i="4"/>
  <c r="AT23" i="4"/>
  <c r="I23" i="4"/>
  <c r="AU24" i="4"/>
  <c r="AT24" i="4"/>
  <c r="I24" i="4"/>
  <c r="AU25" i="4"/>
  <c r="AT25" i="4"/>
  <c r="I25" i="4"/>
  <c r="AU26" i="4"/>
  <c r="AT26" i="4"/>
  <c r="I26" i="4"/>
  <c r="AU27" i="4"/>
  <c r="AT27" i="4"/>
  <c r="I27" i="4"/>
  <c r="AU28" i="4"/>
  <c r="AT28" i="4"/>
  <c r="I28" i="4"/>
  <c r="AU30" i="4"/>
  <c r="AT30" i="4"/>
  <c r="I30" i="4"/>
  <c r="AU31" i="4"/>
  <c r="AT31" i="4"/>
  <c r="I31" i="4"/>
  <c r="AU32" i="4"/>
  <c r="AT32" i="4"/>
  <c r="I32" i="4"/>
  <c r="AT10" i="4"/>
  <c r="AT11" i="4"/>
  <c r="AT12" i="4"/>
  <c r="AU13" i="4"/>
  <c r="I13" i="4" s="1"/>
  <c r="AT13" i="4"/>
  <c r="AT14" i="4"/>
  <c r="AT15" i="4"/>
  <c r="AT16" i="4"/>
  <c r="AU17" i="4"/>
  <c r="I17" i="4" s="1"/>
  <c r="AT17" i="4"/>
  <c r="C7" i="8"/>
  <c r="I7" i="8"/>
  <c r="G7" i="8"/>
  <c r="C8" i="8"/>
  <c r="I8" i="8"/>
  <c r="G8" i="8"/>
  <c r="C9" i="8"/>
  <c r="I9" i="8"/>
  <c r="G9" i="8"/>
  <c r="C10" i="8"/>
  <c r="I10" i="8"/>
  <c r="G10" i="8"/>
  <c r="C11" i="8"/>
  <c r="I11" i="8"/>
  <c r="G11" i="8"/>
  <c r="C12" i="8"/>
  <c r="I12" i="8"/>
  <c r="G12" i="8"/>
  <c r="C13" i="8"/>
  <c r="I13" i="8"/>
  <c r="G13" i="8"/>
  <c r="C14" i="8"/>
  <c r="I14" i="8"/>
  <c r="G14" i="8"/>
  <c r="C15" i="8"/>
  <c r="I15" i="8"/>
  <c r="G15" i="8"/>
  <c r="C16" i="8"/>
  <c r="I16" i="8"/>
  <c r="G16" i="8"/>
  <c r="C17" i="8"/>
  <c r="I17" i="8"/>
  <c r="G17" i="8"/>
  <c r="C18" i="8"/>
  <c r="I18" i="8"/>
  <c r="G18" i="8"/>
  <c r="C19" i="8"/>
  <c r="I19" i="8"/>
  <c r="G19" i="8"/>
  <c r="C20" i="8"/>
  <c r="I20" i="8"/>
  <c r="G20" i="8"/>
  <c r="C21" i="8"/>
  <c r="I21" i="8"/>
  <c r="G21" i="8"/>
  <c r="C22" i="8"/>
  <c r="I22" i="8"/>
  <c r="G22" i="8"/>
  <c r="C23" i="8"/>
  <c r="I23" i="8"/>
  <c r="G23" i="8"/>
  <c r="C24" i="8"/>
  <c r="I24" i="8"/>
  <c r="G24" i="8"/>
  <c r="C25" i="8"/>
  <c r="I25" i="8"/>
  <c r="G25" i="8"/>
  <c r="C26" i="8"/>
  <c r="I26" i="8"/>
  <c r="G26" i="8"/>
  <c r="C27" i="8"/>
  <c r="I27" i="8"/>
  <c r="G27" i="8"/>
  <c r="C28" i="8"/>
  <c r="I28" i="8"/>
  <c r="G28" i="8"/>
  <c r="C29" i="8"/>
  <c r="I29" i="8"/>
  <c r="G29" i="8"/>
  <c r="C30" i="8"/>
  <c r="I30" i="8"/>
  <c r="G30" i="8"/>
  <c r="C31" i="8"/>
  <c r="I31" i="8"/>
  <c r="G31" i="8"/>
  <c r="C32" i="8"/>
  <c r="I32" i="8"/>
  <c r="G32" i="8"/>
  <c r="C33" i="8"/>
  <c r="I33" i="8"/>
  <c r="G33" i="8"/>
  <c r="C34" i="8"/>
  <c r="I34" i="8"/>
  <c r="G34" i="8"/>
  <c r="C35" i="8"/>
  <c r="I35" i="8"/>
  <c r="G35" i="8"/>
  <c r="C36" i="8"/>
  <c r="I36" i="8"/>
  <c r="G36" i="8"/>
  <c r="C37" i="8"/>
  <c r="I37" i="8"/>
  <c r="G37" i="8"/>
  <c r="C38" i="8"/>
  <c r="I38" i="8"/>
  <c r="G38" i="8"/>
  <c r="C39" i="8"/>
  <c r="I39" i="8"/>
  <c r="G39" i="8"/>
  <c r="C40" i="8"/>
  <c r="I40" i="8"/>
  <c r="G40" i="8"/>
  <c r="C41" i="8"/>
  <c r="I41" i="8"/>
  <c r="G41" i="8"/>
  <c r="C42" i="8"/>
  <c r="I42" i="8"/>
  <c r="G42" i="8"/>
  <c r="C43" i="8"/>
  <c r="I43" i="8"/>
  <c r="G43" i="8"/>
  <c r="C44" i="8"/>
  <c r="I44" i="8"/>
  <c r="G44" i="8"/>
  <c r="C45" i="8"/>
  <c r="I45" i="8"/>
  <c r="G45" i="8"/>
  <c r="C46" i="8"/>
  <c r="I46" i="8"/>
  <c r="G46" i="8"/>
  <c r="C6" i="8"/>
  <c r="I6" i="8"/>
  <c r="G6" i="8"/>
  <c r="O15" i="1"/>
  <c r="Q15" i="1"/>
  <c r="S15" i="1"/>
  <c r="E38" i="8"/>
  <c r="E39" i="8"/>
  <c r="E40" i="8"/>
  <c r="E41" i="8"/>
  <c r="E42" i="8"/>
  <c r="E37" i="8"/>
  <c r="E7" i="8"/>
  <c r="E6" i="8"/>
  <c r="H43" i="5"/>
  <c r="I43" i="5"/>
  <c r="L43" i="5" s="1"/>
  <c r="L44" i="5" s="1"/>
  <c r="L45" i="5" s="1"/>
  <c r="AT9" i="4"/>
  <c r="O18" i="5"/>
  <c r="H47" i="5"/>
  <c r="I47" i="5" s="1"/>
  <c r="H46" i="5"/>
  <c r="I46" i="5" s="1"/>
  <c r="H45" i="5"/>
  <c r="I45" i="5"/>
  <c r="H44" i="5"/>
  <c r="I44" i="5" s="1"/>
  <c r="H42" i="5"/>
  <c r="I42" i="5"/>
  <c r="S12" i="5"/>
  <c r="T12" i="5" s="1"/>
  <c r="S11" i="5"/>
  <c r="T11" i="5" s="1"/>
  <c r="S10" i="5"/>
  <c r="T10" i="5" s="1"/>
  <c r="S9" i="5"/>
  <c r="T9" i="5" s="1"/>
  <c r="S8" i="5"/>
  <c r="T8" i="5" s="1"/>
  <c r="S7" i="5"/>
  <c r="T7" i="5"/>
  <c r="I5" i="1"/>
  <c r="I4" i="1"/>
  <c r="I3" i="1"/>
  <c r="J40" i="1"/>
  <c r="K40" i="1"/>
  <c r="L40" i="1"/>
  <c r="M40" i="1"/>
  <c r="N40" i="1"/>
  <c r="O40" i="1"/>
  <c r="J29" i="1"/>
  <c r="K29" i="1"/>
  <c r="L29" i="1"/>
  <c r="J30" i="1"/>
  <c r="K30" i="1"/>
  <c r="L30" i="1"/>
  <c r="M30" i="1"/>
  <c r="N30" i="1"/>
  <c r="O30" i="1"/>
  <c r="J31" i="1"/>
  <c r="K31" i="1"/>
  <c r="L31" i="1"/>
  <c r="M31" i="1"/>
  <c r="N31" i="1"/>
  <c r="O31" i="1"/>
  <c r="J32" i="1"/>
  <c r="K32" i="1"/>
  <c r="L32" i="1"/>
  <c r="M32" i="1"/>
  <c r="N32" i="1"/>
  <c r="O32" i="1"/>
  <c r="J33" i="1"/>
  <c r="K33" i="1"/>
  <c r="L33" i="1"/>
  <c r="M33" i="1"/>
  <c r="N33" i="1"/>
  <c r="O33" i="1"/>
  <c r="J34" i="1"/>
  <c r="K34" i="1"/>
  <c r="L34" i="1"/>
  <c r="M34" i="1"/>
  <c r="N34" i="1"/>
  <c r="O34" i="1"/>
  <c r="J35" i="1"/>
  <c r="K35" i="1"/>
  <c r="L35" i="1"/>
  <c r="M35" i="1"/>
  <c r="N35" i="1"/>
  <c r="O35" i="1"/>
  <c r="J36" i="1"/>
  <c r="K36" i="1"/>
  <c r="L36" i="1"/>
  <c r="M36" i="1"/>
  <c r="N36" i="1"/>
  <c r="O36" i="1"/>
  <c r="J37" i="1"/>
  <c r="K37" i="1"/>
  <c r="L37" i="1"/>
  <c r="M37" i="1"/>
  <c r="N37" i="1"/>
  <c r="O37" i="1"/>
  <c r="J38" i="1"/>
  <c r="K38" i="1"/>
  <c r="L38" i="1"/>
  <c r="M38" i="1"/>
  <c r="N38" i="1"/>
  <c r="O38" i="1"/>
  <c r="M29" i="1"/>
  <c r="N29" i="1"/>
  <c r="O29" i="1"/>
  <c r="K26" i="1"/>
  <c r="L26" i="1"/>
  <c r="M26" i="1"/>
  <c r="H18" i="1"/>
  <c r="P15" i="1"/>
  <c r="R21" i="4"/>
  <c r="R15" i="4"/>
  <c r="R17" i="4"/>
  <c r="R22" i="4"/>
  <c r="R23" i="4" l="1"/>
  <c r="R32" i="4"/>
  <c r="Q23" i="4"/>
  <c r="Q16" i="4"/>
  <c r="R25" i="4"/>
  <c r="R30" i="4"/>
  <c r="R16" i="4"/>
  <c r="Q32" i="4"/>
  <c r="Q30" i="4"/>
  <c r="Q28" i="4"/>
  <c r="R20" i="4"/>
  <c r="Q15" i="4"/>
  <c r="AQ25" i="4"/>
  <c r="Q11" i="4"/>
  <c r="H48" i="5"/>
  <c r="I48" i="5" s="1"/>
  <c r="E43" i="8"/>
  <c r="S13" i="5"/>
  <c r="T13" i="5" s="1"/>
  <c r="H49" i="5"/>
  <c r="I49" i="5" s="1"/>
  <c r="E44" i="8"/>
  <c r="S14" i="5"/>
  <c r="T14" i="5" s="1"/>
  <c r="BT25" i="4"/>
  <c r="BT23" i="4"/>
  <c r="BT18" i="4"/>
  <c r="BT22" i="4"/>
  <c r="AY19" i="4"/>
  <c r="AZ19" i="4" s="1"/>
  <c r="BA19" i="4" s="1"/>
  <c r="L23" i="9"/>
  <c r="M23" i="9" s="1"/>
  <c r="J24" i="9"/>
  <c r="C43" i="5"/>
  <c r="D43" i="5" s="1"/>
  <c r="I19" i="5"/>
  <c r="C73" i="5"/>
  <c r="D73" i="5" s="1"/>
  <c r="C193" i="5"/>
  <c r="D193" i="5" s="1"/>
  <c r="I9" i="5"/>
  <c r="I13" i="5"/>
  <c r="I20" i="5"/>
  <c r="I7" i="5"/>
  <c r="I11" i="5"/>
  <c r="I15" i="5"/>
  <c r="C163" i="5"/>
  <c r="D163" i="5" s="1"/>
  <c r="I6" i="5"/>
  <c r="I8" i="5"/>
  <c r="I10" i="5"/>
  <c r="I12" i="5"/>
  <c r="I14" i="5"/>
  <c r="I16" i="5"/>
  <c r="C103" i="5"/>
  <c r="D103" i="5" s="1"/>
  <c r="C223" i="5"/>
  <c r="D223" i="5" s="1"/>
  <c r="I18" i="5"/>
  <c r="C133" i="5"/>
  <c r="D133" i="5" s="1"/>
  <c r="I17" i="5"/>
  <c r="BS23" i="4"/>
  <c r="BU24" i="4"/>
  <c r="BT21" i="4"/>
  <c r="BU30" i="4"/>
  <c r="AY32" i="4"/>
  <c r="AZ32" i="4" s="1"/>
  <c r="BA32" i="4" s="1"/>
  <c r="BS22" i="4"/>
  <c r="BT20" i="4"/>
  <c r="BS9" i="4"/>
  <c r="BM28" i="4"/>
  <c r="BN21" i="4"/>
  <c r="BU26" i="4"/>
  <c r="BU25" i="4"/>
  <c r="BU22" i="4"/>
  <c r="BT19" i="4"/>
  <c r="P10" i="4"/>
  <c r="BT32" i="4"/>
  <c r="BS26" i="4"/>
  <c r="BS24" i="4"/>
  <c r="BU21" i="4"/>
  <c r="BS19" i="4"/>
  <c r="BU31" i="4"/>
  <c r="BS28" i="4"/>
  <c r="BS27" i="4"/>
  <c r="BU10" i="4"/>
  <c r="BM25" i="4"/>
  <c r="R12" i="4"/>
  <c r="AQ12" i="4"/>
  <c r="BN12" i="4" s="1"/>
  <c r="Q12" i="4"/>
  <c r="R11" i="4"/>
  <c r="AQ10" i="4"/>
  <c r="BO10" i="4" s="1"/>
  <c r="Q10" i="4"/>
  <c r="P9" i="4"/>
  <c r="R9" i="4"/>
  <c r="AQ9" i="4"/>
  <c r="BN9" i="4" s="1"/>
  <c r="BE10" i="4"/>
  <c r="BF10" i="4" s="1"/>
  <c r="AB28" i="4"/>
  <c r="H28" i="4" s="1"/>
  <c r="BG28" i="4"/>
  <c r="AB21" i="4"/>
  <c r="H21" i="4" s="1"/>
  <c r="BG21" i="4"/>
  <c r="AQ17" i="4"/>
  <c r="AQ13" i="4"/>
  <c r="AE12" i="4"/>
  <c r="P31" i="4"/>
  <c r="AJ31" i="4" s="1"/>
  <c r="P23" i="4"/>
  <c r="AE17" i="4"/>
  <c r="P28" i="4"/>
  <c r="P20" i="4"/>
  <c r="P16" i="4"/>
  <c r="R27" i="4"/>
  <c r="AQ19" i="4"/>
  <c r="AX19" i="4" s="1"/>
  <c r="AE11" i="4"/>
  <c r="R14" i="4"/>
  <c r="P25" i="4"/>
  <c r="AJ25" i="4" s="1"/>
  <c r="AI25" i="4" s="1"/>
  <c r="P15" i="4"/>
  <c r="Q27" i="4"/>
  <c r="AE14" i="4"/>
  <c r="P30" i="4"/>
  <c r="P22" i="4"/>
  <c r="AJ22" i="4" s="1"/>
  <c r="P14" i="4"/>
  <c r="AQ23" i="4"/>
  <c r="BM23" i="4" s="1"/>
  <c r="AQ20" i="4"/>
  <c r="P27" i="4"/>
  <c r="P13" i="4"/>
  <c r="Q14" i="4"/>
  <c r="AE16" i="4"/>
  <c r="P32" i="4"/>
  <c r="P24" i="4"/>
  <c r="P19" i="4"/>
  <c r="R24" i="4"/>
  <c r="Q24" i="4"/>
  <c r="AQ27" i="4"/>
  <c r="BO27" i="4" s="1"/>
  <c r="AQ24" i="4"/>
  <c r="AE15" i="4"/>
  <c r="P29" i="4"/>
  <c r="AJ29" i="4" s="1"/>
  <c r="AI29" i="4" s="1"/>
  <c r="P21" i="4"/>
  <c r="AJ21" i="4" s="1"/>
  <c r="BG25" i="4"/>
  <c r="AB25" i="4"/>
  <c r="H25" i="4" s="1"/>
  <c r="AB31" i="4"/>
  <c r="H31" i="4" s="1"/>
  <c r="BG31" i="4"/>
  <c r="BG30" i="4"/>
  <c r="AB30" i="4"/>
  <c r="H30" i="4" s="1"/>
  <c r="AB24" i="4"/>
  <c r="H24" i="4" s="1"/>
  <c r="BG24" i="4"/>
  <c r="AB22" i="4"/>
  <c r="H22" i="4" s="1"/>
  <c r="BG22" i="4"/>
  <c r="AB27" i="4"/>
  <c r="H27" i="4" s="1"/>
  <c r="BG27" i="4"/>
  <c r="BG19" i="4"/>
  <c r="AB19" i="4"/>
  <c r="H19" i="4" s="1"/>
  <c r="AB32" i="4"/>
  <c r="H32" i="4" s="1"/>
  <c r="BG32" i="4"/>
  <c r="AB20" i="4"/>
  <c r="H20" i="4" s="1"/>
  <c r="BG20" i="4"/>
  <c r="BG26" i="4"/>
  <c r="AB26" i="4"/>
  <c r="H26" i="4" s="1"/>
  <c r="AB23" i="4"/>
  <c r="H23" i="4" s="1"/>
  <c r="AB29" i="4"/>
  <c r="H29" i="4" s="1"/>
  <c r="BG9" i="4"/>
  <c r="AL12" i="4"/>
  <c r="BH12" i="4" s="1"/>
  <c r="AB12" i="4" s="1"/>
  <c r="H12" i="4" s="1"/>
  <c r="I11" i="4"/>
  <c r="AS10" i="4"/>
  <c r="AU10" i="4" s="1"/>
  <c r="I10" i="4" s="1"/>
  <c r="BE9" i="4"/>
  <c r="BF9" i="4" s="1"/>
  <c r="P11" i="4"/>
  <c r="AE10" i="4"/>
  <c r="AE9" i="4"/>
  <c r="BV18" i="4"/>
  <c r="BT16" i="4"/>
  <c r="BT14" i="4"/>
  <c r="AV11" i="4"/>
  <c r="AX11" i="4" s="1"/>
  <c r="Y13" i="4"/>
  <c r="AA12" i="4"/>
  <c r="AV15" i="4"/>
  <c r="AV14" i="4"/>
  <c r="AX14" i="4" s="1"/>
  <c r="Y18" i="4"/>
  <c r="Y12" i="4"/>
  <c r="BG10" i="4"/>
  <c r="AB10" i="4" s="1"/>
  <c r="H10" i="4" s="1"/>
  <c r="AB14" i="4"/>
  <c r="H14" i="4" s="1"/>
  <c r="BG14" i="4"/>
  <c r="BE11" i="4"/>
  <c r="BF11" i="4" s="1"/>
  <c r="AL17" i="4"/>
  <c r="BH17" i="4" s="1"/>
  <c r="AC17" i="4"/>
  <c r="AF17" i="4" s="1"/>
  <c r="AG17" i="4" s="1"/>
  <c r="AH17" i="4" s="1"/>
  <c r="AL15" i="4"/>
  <c r="BH15" i="4" s="1"/>
  <c r="AC14" i="4"/>
  <c r="AC11" i="4"/>
  <c r="AF11" i="4" s="1"/>
  <c r="AG11" i="4" s="1"/>
  <c r="AS14" i="4"/>
  <c r="AU14" i="4" s="1"/>
  <c r="I14" i="4" s="1"/>
  <c r="AY12" i="4"/>
  <c r="AZ12" i="4" s="1"/>
  <c r="AC16" i="4"/>
  <c r="AF16" i="4" s="1"/>
  <c r="AG16" i="4" s="1"/>
  <c r="AH16" i="4" s="1"/>
  <c r="BE15" i="4"/>
  <c r="BF15" i="4" s="1"/>
  <c r="AL18" i="4"/>
  <c r="BH18" i="4" s="1"/>
  <c r="AE18" i="4"/>
  <c r="AJ18" i="4" s="1"/>
  <c r="AI18" i="4" s="1"/>
  <c r="AL13" i="4"/>
  <c r="BH13" i="4" s="1"/>
  <c r="AV13" i="4"/>
  <c r="AL11" i="4"/>
  <c r="BH11" i="4" s="1"/>
  <c r="AL16" i="4"/>
  <c r="BH16" i="4" s="1"/>
  <c r="AC18" i="4"/>
  <c r="AF18" i="4" s="1"/>
  <c r="AG18" i="4" s="1"/>
  <c r="AC13" i="4"/>
  <c r="AF13" i="4" s="1"/>
  <c r="AG13" i="4" s="1"/>
  <c r="AC12" i="4"/>
  <c r="AF12" i="4" s="1"/>
  <c r="AG12" i="4" s="1"/>
  <c r="AC15" i="4"/>
  <c r="AF15" i="4" s="1"/>
  <c r="AG15" i="4" s="1"/>
  <c r="AH15" i="4" s="1"/>
  <c r="BS31" i="4"/>
  <c r="BU29" i="4"/>
  <c r="BS10" i="4"/>
  <c r="BM26" i="4"/>
  <c r="BN18" i="4"/>
  <c r="BT29" i="4"/>
  <c r="BT9" i="4"/>
  <c r="AX9" i="4"/>
  <c r="BO22" i="4"/>
  <c r="BS29" i="4"/>
  <c r="BT27" i="4"/>
  <c r="BS32" i="4"/>
  <c r="AX30" i="4"/>
  <c r="BN28" i="4"/>
  <c r="BS25" i="4"/>
  <c r="BU20" i="4"/>
  <c r="BT30" i="4"/>
  <c r="BU11" i="4"/>
  <c r="BM32" i="4"/>
  <c r="AX31" i="4"/>
  <c r="BN29" i="4"/>
  <c r="BS30" i="4"/>
  <c r="BU28" i="4"/>
  <c r="AY24" i="4"/>
  <c r="AZ24" i="4" s="1"/>
  <c r="BA24" i="4" s="1"/>
  <c r="BN20" i="4"/>
  <c r="BM15" i="4"/>
  <c r="BT13" i="4"/>
  <c r="BT28" i="4"/>
  <c r="BN30" i="4"/>
  <c r="AY25" i="4"/>
  <c r="AZ25" i="4" s="1"/>
  <c r="BA25" i="4" s="1"/>
  <c r="BO30" i="4"/>
  <c r="BM29" i="4"/>
  <c r="AX24" i="4"/>
  <c r="AY10" i="4"/>
  <c r="AZ10" i="4" s="1"/>
  <c r="BA10" i="4" s="1"/>
  <c r="BO31" i="4"/>
  <c r="BO13" i="4"/>
  <c r="AH9" i="4"/>
  <c r="BN26" i="4"/>
  <c r="BO25" i="4"/>
  <c r="BN24" i="4"/>
  <c r="BM19" i="4"/>
  <c r="BM16" i="4"/>
  <c r="AH26" i="4"/>
  <c r="BS12" i="4"/>
  <c r="AY16" i="4"/>
  <c r="AZ16" i="4" s="1"/>
  <c r="BM13" i="4"/>
  <c r="BM12" i="4"/>
  <c r="AH23" i="4"/>
  <c r="AX32" i="4"/>
  <c r="AY30" i="4"/>
  <c r="AZ30" i="4" s="1"/>
  <c r="BA30" i="4" s="1"/>
  <c r="BO29" i="4"/>
  <c r="BO28" i="4"/>
  <c r="AX23" i="4"/>
  <c r="AX22" i="4"/>
  <c r="AX21" i="4"/>
  <c r="BU18" i="4"/>
  <c r="BX18" i="4" s="1"/>
  <c r="AX18" i="4"/>
  <c r="BU17" i="4"/>
  <c r="BX17" i="4" s="1"/>
  <c r="AX17" i="4"/>
  <c r="AY15" i="4"/>
  <c r="AZ15" i="4" s="1"/>
  <c r="BS14" i="4"/>
  <c r="AH19" i="4"/>
  <c r="AY23" i="4"/>
  <c r="AZ23" i="4" s="1"/>
  <c r="BA23" i="4" s="1"/>
  <c r="AY22" i="4"/>
  <c r="AZ22" i="4" s="1"/>
  <c r="BA22" i="4" s="1"/>
  <c r="BO21" i="4"/>
  <c r="BO20" i="4"/>
  <c r="BO19" i="4"/>
  <c r="BO18" i="4"/>
  <c r="BS17" i="4"/>
  <c r="BO15" i="4"/>
  <c r="BU13" i="4"/>
  <c r="BX13" i="4" s="1"/>
  <c r="BO17" i="4"/>
  <c r="BN15" i="4"/>
  <c r="AH31" i="4"/>
  <c r="AH29" i="4"/>
  <c r="AH27" i="4"/>
  <c r="AH22" i="4"/>
  <c r="AJ19" i="4"/>
  <c r="AI19" i="4" s="1"/>
  <c r="AX16" i="4"/>
  <c r="AH25" i="4"/>
  <c r="BO11" i="4"/>
  <c r="BT11" i="4"/>
  <c r="BU15" i="4"/>
  <c r="BX15" i="4" s="1"/>
  <c r="BN16" i="4"/>
  <c r="BM17" i="4"/>
  <c r="BS18" i="4"/>
  <c r="BS20" i="4"/>
  <c r="BM22" i="4"/>
  <c r="BN23" i="4"/>
  <c r="BO24" i="4"/>
  <c r="AX26" i="4"/>
  <c r="AY27" i="4"/>
  <c r="AZ27" i="4" s="1"/>
  <c r="BA27" i="4" s="1"/>
  <c r="AY28" i="4"/>
  <c r="AZ28" i="4" s="1"/>
  <c r="BA28" i="4" s="1"/>
  <c r="AY29" i="4"/>
  <c r="AZ29" i="4" s="1"/>
  <c r="BA29" i="4" s="1"/>
  <c r="BM31" i="4"/>
  <c r="BN32" i="4"/>
  <c r="AY9" i="4"/>
  <c r="AZ9" i="4" s="1"/>
  <c r="BA9" i="4" s="1"/>
  <c r="BT10" i="4"/>
  <c r="BT31" i="4"/>
  <c r="BT17" i="4"/>
  <c r="BT24" i="4"/>
  <c r="BT26" i="4"/>
  <c r="BU32" i="4"/>
  <c r="BN13" i="4"/>
  <c r="BO16" i="4"/>
  <c r="BU16" i="4"/>
  <c r="BX16" i="4" s="1"/>
  <c r="BN17" i="4"/>
  <c r="BM18" i="4"/>
  <c r="BM30" i="4"/>
  <c r="BN31" i="4"/>
  <c r="BO32" i="4"/>
  <c r="BM11" i="4"/>
  <c r="BT12" i="4"/>
  <c r="BW12" i="4" s="1"/>
  <c r="BS13" i="4"/>
  <c r="AX15" i="4"/>
  <c r="BM20" i="4"/>
  <c r="BM21" i="4"/>
  <c r="BN22" i="4"/>
  <c r="BO23" i="4"/>
  <c r="AX25" i="4"/>
  <c r="AY26" i="4"/>
  <c r="AZ26" i="4" s="1"/>
  <c r="BA26" i="4" s="1"/>
  <c r="BN10" i="4"/>
  <c r="BN11" i="4"/>
  <c r="BS11" i="4"/>
  <c r="BV11" i="4" s="1"/>
  <c r="AX13" i="4"/>
  <c r="BM14" i="4"/>
  <c r="BU14" i="4"/>
  <c r="BX14" i="4" s="1"/>
  <c r="BT15" i="4"/>
  <c r="BS16" i="4"/>
  <c r="AY18" i="4"/>
  <c r="AZ18" i="4" s="1"/>
  <c r="AY20" i="4"/>
  <c r="AZ20" i="4" s="1"/>
  <c r="BA20" i="4" s="1"/>
  <c r="AY21" i="4"/>
  <c r="AZ21" i="4" s="1"/>
  <c r="BA21" i="4" s="1"/>
  <c r="BM24" i="4"/>
  <c r="BN25" i="4"/>
  <c r="BO26" i="4"/>
  <c r="AX28" i="4"/>
  <c r="AX29" i="4"/>
  <c r="AY31" i="4"/>
  <c r="AZ31" i="4" s="1"/>
  <c r="BA31" i="4" s="1"/>
  <c r="BU9" i="4"/>
  <c r="BU27" i="4"/>
  <c r="BU19" i="4"/>
  <c r="BS21" i="4"/>
  <c r="BU23" i="4"/>
  <c r="AH30" i="4"/>
  <c r="AH21" i="4"/>
  <c r="AH32" i="4"/>
  <c r="BO14" i="4"/>
  <c r="AY13" i="4"/>
  <c r="AZ13" i="4" s="1"/>
  <c r="BU12" i="4"/>
  <c r="AJ30" i="4"/>
  <c r="AH28" i="4"/>
  <c r="AH10" i="4"/>
  <c r="AX20" i="4"/>
  <c r="AY17" i="4"/>
  <c r="AZ17" i="4" s="1"/>
  <c r="BS15" i="4"/>
  <c r="BN14" i="4"/>
  <c r="AJ26" i="4"/>
  <c r="AH24" i="4"/>
  <c r="AH20" i="4"/>
  <c r="AF9" i="4"/>
  <c r="AG9" i="4" s="1"/>
  <c r="AX10" i="4" l="1"/>
  <c r="AJ20" i="4"/>
  <c r="AJ24" i="4"/>
  <c r="AI24" i="4" s="1"/>
  <c r="AJ28" i="4"/>
  <c r="AJ15" i="4"/>
  <c r="AK15" i="4" s="1"/>
  <c r="AJ32" i="4"/>
  <c r="AI32" i="4" s="1"/>
  <c r="AM32" i="4" s="1"/>
  <c r="BO9" i="4"/>
  <c r="BN19" i="4"/>
  <c r="BC19" i="4" s="1"/>
  <c r="BB19" i="4" s="1"/>
  <c r="AO19" i="4" s="1"/>
  <c r="AP19" i="4" s="1"/>
  <c r="BM10" i="4"/>
  <c r="BC10" i="4" s="1"/>
  <c r="AJ16" i="4"/>
  <c r="AI16" i="4" s="1"/>
  <c r="AM16" i="4" s="1"/>
  <c r="AJ23" i="4"/>
  <c r="AK23" i="4" s="1"/>
  <c r="AJ14" i="4"/>
  <c r="AK14" i="4" s="1"/>
  <c r="BA17" i="4"/>
  <c r="H50" i="5"/>
  <c r="I50" i="5" s="1"/>
  <c r="E45" i="8"/>
  <c r="S15" i="5"/>
  <c r="T15" i="5" s="1"/>
  <c r="S16" i="5"/>
  <c r="T16" i="5" s="1"/>
  <c r="E46" i="8"/>
  <c r="H51" i="5"/>
  <c r="I51" i="5" s="1"/>
  <c r="BA13" i="4"/>
  <c r="L24" i="9"/>
  <c r="M24" i="9" s="1"/>
  <c r="J25" i="9"/>
  <c r="AM19" i="4"/>
  <c r="F19" i="4" s="1"/>
  <c r="G19" i="4" s="1"/>
  <c r="C145" i="5"/>
  <c r="D145" i="5" s="1"/>
  <c r="E19" i="8"/>
  <c r="C115" i="5"/>
  <c r="D115" i="5" s="1"/>
  <c r="C55" i="5"/>
  <c r="D55" i="5" s="1"/>
  <c r="C175" i="5"/>
  <c r="D175" i="5" s="1"/>
  <c r="C85" i="5"/>
  <c r="D85" i="5" s="1"/>
  <c r="C205" i="5"/>
  <c r="D205" i="5" s="1"/>
  <c r="C235" i="5"/>
  <c r="D235" i="5" s="1"/>
  <c r="C140" i="5"/>
  <c r="D140" i="5" s="1"/>
  <c r="C170" i="5"/>
  <c r="D170" i="5" s="1"/>
  <c r="C50" i="5"/>
  <c r="D50" i="5" s="1"/>
  <c r="E14" i="8"/>
  <c r="C80" i="5"/>
  <c r="D80" i="5" s="1"/>
  <c r="C200" i="5"/>
  <c r="D200" i="5" s="1"/>
  <c r="C230" i="5"/>
  <c r="D230" i="5" s="1"/>
  <c r="C110" i="5"/>
  <c r="D110" i="5" s="1"/>
  <c r="C58" i="5"/>
  <c r="D58" i="5" s="1"/>
  <c r="C148" i="5"/>
  <c r="D148" i="5" s="1"/>
  <c r="C178" i="5"/>
  <c r="D178" i="5" s="1"/>
  <c r="E22" i="8"/>
  <c r="C88" i="5"/>
  <c r="D88" i="5" s="1"/>
  <c r="C208" i="5"/>
  <c r="D208" i="5" s="1"/>
  <c r="C118" i="5"/>
  <c r="D118" i="5" s="1"/>
  <c r="C238" i="5"/>
  <c r="D238" i="5" s="1"/>
  <c r="C172" i="5"/>
  <c r="D172" i="5" s="1"/>
  <c r="C82" i="5"/>
  <c r="D82" i="5" s="1"/>
  <c r="C202" i="5"/>
  <c r="D202" i="5" s="1"/>
  <c r="C52" i="5"/>
  <c r="D52" i="5" s="1"/>
  <c r="C112" i="5"/>
  <c r="D112" i="5" s="1"/>
  <c r="C232" i="5"/>
  <c r="D232" i="5" s="1"/>
  <c r="C142" i="5"/>
  <c r="D142" i="5" s="1"/>
  <c r="E16" i="8"/>
  <c r="C51" i="5"/>
  <c r="D51" i="5" s="1"/>
  <c r="C81" i="5"/>
  <c r="D81" i="5" s="1"/>
  <c r="C201" i="5"/>
  <c r="D201" i="5" s="1"/>
  <c r="C171" i="5"/>
  <c r="D171" i="5" s="1"/>
  <c r="C111" i="5"/>
  <c r="D111" i="5" s="1"/>
  <c r="C231" i="5"/>
  <c r="D231" i="5" s="1"/>
  <c r="C141" i="5"/>
  <c r="D141" i="5" s="1"/>
  <c r="E15" i="8"/>
  <c r="E12" i="8"/>
  <c r="C108" i="5"/>
  <c r="D108" i="5" s="1"/>
  <c r="C228" i="5"/>
  <c r="D228" i="5" s="1"/>
  <c r="C138" i="5"/>
  <c r="D138" i="5" s="1"/>
  <c r="C48" i="5"/>
  <c r="D48" i="5" s="1"/>
  <c r="C168" i="5"/>
  <c r="D168" i="5" s="1"/>
  <c r="C198" i="5"/>
  <c r="D198" i="5" s="1"/>
  <c r="C78" i="5"/>
  <c r="D78" i="5" s="1"/>
  <c r="I23" i="5"/>
  <c r="I27" i="5"/>
  <c r="I31" i="5"/>
  <c r="I24" i="5"/>
  <c r="I28" i="5"/>
  <c r="I21" i="5"/>
  <c r="I22" i="5"/>
  <c r="I26" i="5"/>
  <c r="I30" i="5"/>
  <c r="I34" i="5"/>
  <c r="I25" i="5"/>
  <c r="I29" i="5"/>
  <c r="I33" i="5"/>
  <c r="I32" i="5"/>
  <c r="C76" i="5"/>
  <c r="D76" i="5" s="1"/>
  <c r="C196" i="5"/>
  <c r="D196" i="5" s="1"/>
  <c r="E10" i="8"/>
  <c r="C106" i="5"/>
  <c r="D106" i="5" s="1"/>
  <c r="C226" i="5"/>
  <c r="D226" i="5" s="1"/>
  <c r="C46" i="5"/>
  <c r="D46" i="5" s="1"/>
  <c r="C136" i="5"/>
  <c r="D136" i="5" s="1"/>
  <c r="C166" i="5"/>
  <c r="D166" i="5" s="1"/>
  <c r="C47" i="5"/>
  <c r="D47" i="5" s="1"/>
  <c r="C137" i="5"/>
  <c r="D137" i="5" s="1"/>
  <c r="E11" i="8"/>
  <c r="C107" i="5"/>
  <c r="D107" i="5" s="1"/>
  <c r="C167" i="5"/>
  <c r="D167" i="5" s="1"/>
  <c r="C77" i="5"/>
  <c r="D77" i="5" s="1"/>
  <c r="C197" i="5"/>
  <c r="D197" i="5" s="1"/>
  <c r="C227" i="5"/>
  <c r="D227" i="5" s="1"/>
  <c r="C116" i="5"/>
  <c r="D116" i="5" s="1"/>
  <c r="C236" i="5"/>
  <c r="D236" i="5" s="1"/>
  <c r="E20" i="8"/>
  <c r="C56" i="5"/>
  <c r="D56" i="5" s="1"/>
  <c r="C146" i="5"/>
  <c r="D146" i="5" s="1"/>
  <c r="C176" i="5"/>
  <c r="D176" i="5" s="1"/>
  <c r="C86" i="5"/>
  <c r="D86" i="5" s="1"/>
  <c r="C206" i="5"/>
  <c r="D206" i="5" s="1"/>
  <c r="C164" i="5"/>
  <c r="D164" i="5" s="1"/>
  <c r="C74" i="5"/>
  <c r="D74" i="5" s="1"/>
  <c r="C194" i="5"/>
  <c r="D194" i="5" s="1"/>
  <c r="C44" i="5"/>
  <c r="D44" i="5" s="1"/>
  <c r="C104" i="5"/>
  <c r="D104" i="5" s="1"/>
  <c r="C224" i="5"/>
  <c r="D224" i="5" s="1"/>
  <c r="C134" i="5"/>
  <c r="D134" i="5" s="1"/>
  <c r="E8" i="8"/>
  <c r="C45" i="5"/>
  <c r="D45" i="5" s="1"/>
  <c r="C105" i="5"/>
  <c r="D105" i="5" s="1"/>
  <c r="C225" i="5"/>
  <c r="D225" i="5" s="1"/>
  <c r="E9" i="8"/>
  <c r="C75" i="5"/>
  <c r="D75" i="5" s="1"/>
  <c r="C195" i="5"/>
  <c r="D195" i="5" s="1"/>
  <c r="C135" i="5"/>
  <c r="D135" i="5" s="1"/>
  <c r="C165" i="5"/>
  <c r="D165" i="5" s="1"/>
  <c r="C53" i="5"/>
  <c r="D53" i="5" s="1"/>
  <c r="C113" i="5"/>
  <c r="D113" i="5" s="1"/>
  <c r="C233" i="5"/>
  <c r="D233" i="5" s="1"/>
  <c r="E17" i="8"/>
  <c r="C83" i="5"/>
  <c r="D83" i="5" s="1"/>
  <c r="C143" i="5"/>
  <c r="D143" i="5" s="1"/>
  <c r="C173" i="5"/>
  <c r="D173" i="5" s="1"/>
  <c r="C203" i="5"/>
  <c r="D203" i="5" s="1"/>
  <c r="C177" i="5"/>
  <c r="D177" i="5" s="1"/>
  <c r="C147" i="5"/>
  <c r="D147" i="5" s="1"/>
  <c r="C87" i="5"/>
  <c r="D87" i="5" s="1"/>
  <c r="C207" i="5"/>
  <c r="D207" i="5" s="1"/>
  <c r="C57" i="5"/>
  <c r="D57" i="5" s="1"/>
  <c r="C117" i="5"/>
  <c r="D117" i="5" s="1"/>
  <c r="C237" i="5"/>
  <c r="D237" i="5" s="1"/>
  <c r="E21" i="8"/>
  <c r="C84" i="5"/>
  <c r="D84" i="5" s="1"/>
  <c r="C204" i="5"/>
  <c r="D204" i="5" s="1"/>
  <c r="E18" i="8"/>
  <c r="C114" i="5"/>
  <c r="D114" i="5" s="1"/>
  <c r="C234" i="5"/>
  <c r="D234" i="5" s="1"/>
  <c r="C54" i="5"/>
  <c r="D54" i="5" s="1"/>
  <c r="C144" i="5"/>
  <c r="D144" i="5" s="1"/>
  <c r="C174" i="5"/>
  <c r="D174" i="5" s="1"/>
  <c r="C49" i="5"/>
  <c r="D49" i="5" s="1"/>
  <c r="C169" i="5"/>
  <c r="D169" i="5" s="1"/>
  <c r="C79" i="5"/>
  <c r="D79" i="5" s="1"/>
  <c r="C199" i="5"/>
  <c r="D199" i="5" s="1"/>
  <c r="C109" i="5"/>
  <c r="D109" i="5" s="1"/>
  <c r="C229" i="5"/>
  <c r="D229" i="5" s="1"/>
  <c r="E13" i="8"/>
  <c r="C139" i="5"/>
  <c r="D139" i="5" s="1"/>
  <c r="AH13" i="4"/>
  <c r="BO12" i="4"/>
  <c r="AX12" i="4"/>
  <c r="AH18" i="4"/>
  <c r="AM18" i="4" s="1"/>
  <c r="AN18" i="4" s="1"/>
  <c r="AJ27" i="4"/>
  <c r="AI27" i="4" s="1"/>
  <c r="AM27" i="4" s="1"/>
  <c r="AJ9" i="4"/>
  <c r="AK9" i="4" s="1"/>
  <c r="AI21" i="4"/>
  <c r="AM21" i="4" s="1"/>
  <c r="AK21" i="4"/>
  <c r="AH12" i="4"/>
  <c r="AJ10" i="4"/>
  <c r="AK10" i="4" s="1"/>
  <c r="BM9" i="4"/>
  <c r="AY11" i="4"/>
  <c r="AZ11" i="4" s="1"/>
  <c r="BA11" i="4" s="1"/>
  <c r="AJ11" i="4"/>
  <c r="AK11" i="4" s="1"/>
  <c r="AI11" i="4" s="1"/>
  <c r="BC24" i="4"/>
  <c r="BB24" i="4" s="1"/>
  <c r="AO24" i="4" s="1"/>
  <c r="AP24" i="4" s="1"/>
  <c r="BN27" i="4"/>
  <c r="BM27" i="4"/>
  <c r="AX27" i="4"/>
  <c r="BC30" i="4"/>
  <c r="BB30" i="4" s="1"/>
  <c r="AO30" i="4" s="1"/>
  <c r="AP30" i="4" s="1"/>
  <c r="BC18" i="4"/>
  <c r="BB18" i="4" s="1"/>
  <c r="BG12" i="4"/>
  <c r="BA18" i="4"/>
  <c r="BA12" i="4"/>
  <c r="AY14" i="4"/>
  <c r="AZ14" i="4" s="1"/>
  <c r="BA14" i="4" s="1"/>
  <c r="AI15" i="4"/>
  <c r="AM15" i="4" s="1"/>
  <c r="F15" i="4" s="1"/>
  <c r="AB18" i="4"/>
  <c r="H18" i="4" s="1"/>
  <c r="BG18" i="4"/>
  <c r="AB17" i="4"/>
  <c r="H17" i="4" s="1"/>
  <c r="BG17" i="4"/>
  <c r="AJ12" i="4"/>
  <c r="AI12" i="4" s="1"/>
  <c r="BG16" i="4"/>
  <c r="AB16" i="4"/>
  <c r="H16" i="4" s="1"/>
  <c r="BG11" i="4"/>
  <c r="AB11" i="4" s="1"/>
  <c r="H11" i="4" s="1"/>
  <c r="AB13" i="4"/>
  <c r="H13" i="4" s="1"/>
  <c r="BG13" i="4"/>
  <c r="AF14" i="4"/>
  <c r="AG14" i="4" s="1"/>
  <c r="AH14" i="4" s="1"/>
  <c r="AJ17" i="4"/>
  <c r="AI17" i="4" s="1"/>
  <c r="AM17" i="4" s="1"/>
  <c r="AJ13" i="4"/>
  <c r="AK13" i="4" s="1"/>
  <c r="BG15" i="4"/>
  <c r="AB15" i="4"/>
  <c r="H15" i="4" s="1"/>
  <c r="AM29" i="4"/>
  <c r="AN29" i="4" s="1"/>
  <c r="BA15" i="4"/>
  <c r="BC29" i="4"/>
  <c r="BD29" i="4" s="1"/>
  <c r="AK29" i="4"/>
  <c r="AM25" i="4"/>
  <c r="AN25" i="4" s="1"/>
  <c r="AK25" i="4"/>
  <c r="BC13" i="4"/>
  <c r="BD13" i="4" s="1"/>
  <c r="BC21" i="4"/>
  <c r="BB21" i="4" s="1"/>
  <c r="AO21" i="4" s="1"/>
  <c r="AP21" i="4" s="1"/>
  <c r="BC15" i="4"/>
  <c r="BD15" i="4" s="1"/>
  <c r="BC28" i="4"/>
  <c r="BB28" i="4" s="1"/>
  <c r="AO28" i="4" s="1"/>
  <c r="AP28" i="4" s="1"/>
  <c r="BA16" i="4"/>
  <c r="BC22" i="4"/>
  <c r="BD22" i="4" s="1"/>
  <c r="BC20" i="4"/>
  <c r="BB20" i="4" s="1"/>
  <c r="AO20" i="4" s="1"/>
  <c r="AP20" i="4" s="1"/>
  <c r="BC16" i="4"/>
  <c r="BD16" i="4" s="1"/>
  <c r="AK18" i="4"/>
  <c r="AK19" i="4"/>
  <c r="AK24" i="4"/>
  <c r="AM24" i="4"/>
  <c r="AN24" i="4" s="1"/>
  <c r="BC11" i="4"/>
  <c r="BB11" i="4" s="1"/>
  <c r="BC23" i="4"/>
  <c r="BD23" i="4" s="1"/>
  <c r="AI22" i="4"/>
  <c r="AM22" i="4" s="1"/>
  <c r="AK22" i="4"/>
  <c r="BC31" i="4"/>
  <c r="BD31" i="4" s="1"/>
  <c r="AK20" i="4"/>
  <c r="AI20" i="4"/>
  <c r="AM20" i="4" s="1"/>
  <c r="AK32" i="4"/>
  <c r="BC17" i="4"/>
  <c r="AK28" i="4"/>
  <c r="AI28" i="4"/>
  <c r="AM28" i="4" s="1"/>
  <c r="BC26" i="4"/>
  <c r="BC25" i="4"/>
  <c r="BC14" i="4"/>
  <c r="AI31" i="4"/>
  <c r="AM31" i="4" s="1"/>
  <c r="AK31" i="4"/>
  <c r="AI14" i="4"/>
  <c r="AI30" i="4"/>
  <c r="AM30" i="4" s="1"/>
  <c r="AK30" i="4"/>
  <c r="AI26" i="4"/>
  <c r="AM26" i="4" s="1"/>
  <c r="AK26" i="4"/>
  <c r="BC32" i="4"/>
  <c r="AK16" i="4" l="1"/>
  <c r="AI23" i="4"/>
  <c r="AM23" i="4" s="1"/>
  <c r="AN23" i="4" s="1"/>
  <c r="BC9" i="4"/>
  <c r="BD9" i="4" s="1"/>
  <c r="AK27" i="4"/>
  <c r="BD24" i="4"/>
  <c r="BD30" i="4"/>
  <c r="BC12" i="4"/>
  <c r="BD12" i="4" s="1"/>
  <c r="BB23" i="4"/>
  <c r="AO23" i="4" s="1"/>
  <c r="AP23" i="4" s="1"/>
  <c r="BD18" i="4"/>
  <c r="AO18" i="4"/>
  <c r="AP18" i="4" s="1"/>
  <c r="J26" i="9"/>
  <c r="L25" i="9"/>
  <c r="M25" i="9" s="1"/>
  <c r="AN19" i="4"/>
  <c r="F24" i="4"/>
  <c r="G24" i="4" s="1"/>
  <c r="C180" i="5"/>
  <c r="D180" i="5" s="1"/>
  <c r="C90" i="5"/>
  <c r="D90" i="5" s="1"/>
  <c r="C210" i="5"/>
  <c r="D210" i="5" s="1"/>
  <c r="C60" i="5"/>
  <c r="D60" i="5" s="1"/>
  <c r="C120" i="5"/>
  <c r="D120" i="5" s="1"/>
  <c r="C240" i="5"/>
  <c r="D240" i="5" s="1"/>
  <c r="E24" i="8"/>
  <c r="C150" i="5"/>
  <c r="D150" i="5" s="1"/>
  <c r="C70" i="5"/>
  <c r="D70" i="5" s="1"/>
  <c r="C100" i="5"/>
  <c r="D100" i="5" s="1"/>
  <c r="C220" i="5"/>
  <c r="D220" i="5" s="1"/>
  <c r="E34" i="8"/>
  <c r="C130" i="5"/>
  <c r="D130" i="5" s="1"/>
  <c r="C160" i="5"/>
  <c r="D160" i="5" s="1"/>
  <c r="C190" i="5"/>
  <c r="D190" i="5" s="1"/>
  <c r="C89" i="5"/>
  <c r="D89" i="5" s="1"/>
  <c r="C209" i="5"/>
  <c r="D209" i="5" s="1"/>
  <c r="C179" i="5"/>
  <c r="D179" i="5" s="1"/>
  <c r="C119" i="5"/>
  <c r="D119" i="5" s="1"/>
  <c r="C239" i="5"/>
  <c r="D239" i="5" s="1"/>
  <c r="C149" i="5"/>
  <c r="D149" i="5" s="1"/>
  <c r="C59" i="5"/>
  <c r="D59" i="5" s="1"/>
  <c r="E23" i="8"/>
  <c r="C161" i="5"/>
  <c r="D161" i="5" s="1"/>
  <c r="E35" i="8"/>
  <c r="C131" i="5"/>
  <c r="D131" i="5" s="1"/>
  <c r="C191" i="5"/>
  <c r="D191" i="5" s="1"/>
  <c r="C101" i="5"/>
  <c r="D101" i="5" s="1"/>
  <c r="C221" i="5"/>
  <c r="D221" i="5" s="1"/>
  <c r="C71" i="5"/>
  <c r="D71" i="5" s="1"/>
  <c r="C66" i="5"/>
  <c r="D66" i="5" s="1"/>
  <c r="C156" i="5"/>
  <c r="D156" i="5" s="1"/>
  <c r="C186" i="5"/>
  <c r="D186" i="5" s="1"/>
  <c r="E30" i="8"/>
  <c r="C96" i="5"/>
  <c r="D96" i="5" s="1"/>
  <c r="C216" i="5"/>
  <c r="D216" i="5" s="1"/>
  <c r="C126" i="5"/>
  <c r="D126" i="5" s="1"/>
  <c r="C124" i="5"/>
  <c r="D124" i="5" s="1"/>
  <c r="C154" i="5"/>
  <c r="D154" i="5" s="1"/>
  <c r="E28" i="8"/>
  <c r="C64" i="5"/>
  <c r="D64" i="5" s="1"/>
  <c r="C184" i="5"/>
  <c r="D184" i="5" s="1"/>
  <c r="C214" i="5"/>
  <c r="D214" i="5" s="1"/>
  <c r="C94" i="5"/>
  <c r="D94" i="5" s="1"/>
  <c r="C97" i="5"/>
  <c r="D97" i="5" s="1"/>
  <c r="C217" i="5"/>
  <c r="D217" i="5" s="1"/>
  <c r="C127" i="5"/>
  <c r="D127" i="5" s="1"/>
  <c r="C157" i="5"/>
  <c r="D157" i="5" s="1"/>
  <c r="C187" i="5"/>
  <c r="D187" i="5" s="1"/>
  <c r="E31" i="8"/>
  <c r="C67" i="5"/>
  <c r="D67" i="5" s="1"/>
  <c r="Y11" i="4" s="1"/>
  <c r="AH11" i="4" s="1"/>
  <c r="AM11" i="4" s="1"/>
  <c r="AN11" i="4" s="1"/>
  <c r="F11" i="4" s="1"/>
  <c r="C62" i="5"/>
  <c r="D62" i="5" s="1"/>
  <c r="C92" i="5"/>
  <c r="D92" i="5" s="1"/>
  <c r="C212" i="5"/>
  <c r="D212" i="5" s="1"/>
  <c r="E26" i="8"/>
  <c r="C122" i="5"/>
  <c r="D122" i="5" s="1"/>
  <c r="C242" i="5"/>
  <c r="D242" i="5" s="1"/>
  <c r="C152" i="5"/>
  <c r="D152" i="5" s="1"/>
  <c r="C182" i="5"/>
  <c r="D182" i="5" s="1"/>
  <c r="C153" i="5"/>
  <c r="D153" i="5" s="1"/>
  <c r="E27" i="8"/>
  <c r="C123" i="5"/>
  <c r="D123" i="5" s="1"/>
  <c r="C183" i="5"/>
  <c r="D183" i="5" s="1"/>
  <c r="C93" i="5"/>
  <c r="D93" i="5" s="1"/>
  <c r="C213" i="5"/>
  <c r="D213" i="5" s="1"/>
  <c r="C63" i="5"/>
  <c r="D63" i="5" s="1"/>
  <c r="C129" i="5"/>
  <c r="D129" i="5" s="1"/>
  <c r="E33" i="8"/>
  <c r="C159" i="5"/>
  <c r="D159" i="5" s="1"/>
  <c r="C69" i="5"/>
  <c r="D69" i="5" s="1"/>
  <c r="C189" i="5"/>
  <c r="D189" i="5" s="1"/>
  <c r="C99" i="5"/>
  <c r="D99" i="5" s="1"/>
  <c r="C219" i="5"/>
  <c r="D219" i="5" s="1"/>
  <c r="C132" i="5"/>
  <c r="D132" i="5" s="1"/>
  <c r="E36" i="8"/>
  <c r="C162" i="5"/>
  <c r="D162" i="5" s="1"/>
  <c r="C72" i="5"/>
  <c r="D72" i="5" s="1"/>
  <c r="C192" i="5"/>
  <c r="D192" i="5" s="1"/>
  <c r="C102" i="5"/>
  <c r="D102" i="5" s="1"/>
  <c r="C222" i="5"/>
  <c r="D222" i="5" s="1"/>
  <c r="C185" i="5"/>
  <c r="D185" i="5" s="1"/>
  <c r="C155" i="5"/>
  <c r="D155" i="5" s="1"/>
  <c r="C95" i="5"/>
  <c r="D95" i="5" s="1"/>
  <c r="C215" i="5"/>
  <c r="D215" i="5" s="1"/>
  <c r="C65" i="5"/>
  <c r="D65" i="5" s="1"/>
  <c r="C125" i="5"/>
  <c r="D125" i="5" s="1"/>
  <c r="E29" i="8"/>
  <c r="C188" i="5"/>
  <c r="D188" i="5" s="1"/>
  <c r="C98" i="5"/>
  <c r="D98" i="5" s="1"/>
  <c r="C218" i="5"/>
  <c r="D218" i="5" s="1"/>
  <c r="C68" i="5"/>
  <c r="D68" i="5" s="1"/>
  <c r="C128" i="5"/>
  <c r="D128" i="5" s="1"/>
  <c r="E32" i="8"/>
  <c r="C158" i="5"/>
  <c r="D158" i="5" s="1"/>
  <c r="C121" i="5"/>
  <c r="D121" i="5" s="1"/>
  <c r="C241" i="5"/>
  <c r="D241" i="5" s="1"/>
  <c r="E25" i="8"/>
  <c r="C151" i="5"/>
  <c r="D151" i="5" s="1"/>
  <c r="C61" i="5"/>
  <c r="D61" i="5" s="1"/>
  <c r="C181" i="5"/>
  <c r="D181" i="5" s="1"/>
  <c r="C91" i="5"/>
  <c r="D91" i="5" s="1"/>
  <c r="C211" i="5"/>
  <c r="D211" i="5" s="1"/>
  <c r="AN15" i="4"/>
  <c r="F25" i="4"/>
  <c r="G25" i="4" s="1"/>
  <c r="AM12" i="4"/>
  <c r="AN12" i="4" s="1"/>
  <c r="AI9" i="4"/>
  <c r="AM9" i="4" s="1"/>
  <c r="BD28" i="4"/>
  <c r="BC27" i="4"/>
  <c r="BD27" i="4" s="1"/>
  <c r="BB29" i="4"/>
  <c r="AO29" i="4" s="1"/>
  <c r="AP29" i="4" s="1"/>
  <c r="AI10" i="4"/>
  <c r="AM10" i="4" s="1"/>
  <c r="AN10" i="4" s="1"/>
  <c r="F10" i="4" s="1"/>
  <c r="F21" i="4"/>
  <c r="G21" i="4" s="1"/>
  <c r="AN21" i="4"/>
  <c r="BB13" i="4"/>
  <c r="AO13" i="4" s="1"/>
  <c r="AP13" i="4" s="1"/>
  <c r="BD21" i="4"/>
  <c r="F29" i="4"/>
  <c r="G29" i="4" s="1"/>
  <c r="AO11" i="4"/>
  <c r="AP11" i="4" s="1"/>
  <c r="BD19" i="4"/>
  <c r="BB16" i="4"/>
  <c r="AO16" i="4" s="1"/>
  <c r="AP16" i="4" s="1"/>
  <c r="AK17" i="4"/>
  <c r="BD11" i="4"/>
  <c r="AK12" i="4"/>
  <c r="BB15" i="4"/>
  <c r="AO15" i="4" s="1"/>
  <c r="AP15" i="4" s="1"/>
  <c r="AM14" i="4"/>
  <c r="AN14" i="4" s="1"/>
  <c r="F18" i="4"/>
  <c r="AI13" i="4"/>
  <c r="AM13" i="4" s="1"/>
  <c r="F13" i="4" s="1"/>
  <c r="BB22" i="4"/>
  <c r="AO22" i="4" s="1"/>
  <c r="AP22" i="4" s="1"/>
  <c r="BD20" i="4"/>
  <c r="BB31" i="4"/>
  <c r="AO31" i="4" s="1"/>
  <c r="AP31" i="4" s="1"/>
  <c r="F20" i="4"/>
  <c r="G20" i="4" s="1"/>
  <c r="AN20" i="4"/>
  <c r="AN22" i="4"/>
  <c r="F22" i="4"/>
  <c r="G22" i="4" s="1"/>
  <c r="F17" i="4"/>
  <c r="AN17" i="4"/>
  <c r="F27" i="4"/>
  <c r="G27" i="4" s="1"/>
  <c r="AN27" i="4"/>
  <c r="F16" i="4"/>
  <c r="AN16" i="4"/>
  <c r="BB32" i="4"/>
  <c r="AO32" i="4" s="1"/>
  <c r="AP32" i="4" s="1"/>
  <c r="BD32" i="4"/>
  <c r="AN30" i="4"/>
  <c r="F30" i="4"/>
  <c r="G30" i="4" s="1"/>
  <c r="AN28" i="4"/>
  <c r="F28" i="4"/>
  <c r="G28" i="4" s="1"/>
  <c r="BB26" i="4"/>
  <c r="AO26" i="4" s="1"/>
  <c r="AP26" i="4" s="1"/>
  <c r="BD26" i="4"/>
  <c r="AN26" i="4"/>
  <c r="F26" i="4"/>
  <c r="G26" i="4" s="1"/>
  <c r="F32" i="4"/>
  <c r="G32" i="4" s="1"/>
  <c r="AN32" i="4"/>
  <c r="AN31" i="4"/>
  <c r="F31" i="4"/>
  <c r="G31" i="4" s="1"/>
  <c r="BB17" i="4"/>
  <c r="AO17" i="4" s="1"/>
  <c r="AP17" i="4" s="1"/>
  <c r="BD17" i="4"/>
  <c r="BB14" i="4"/>
  <c r="AO14" i="4" s="1"/>
  <c r="AP14" i="4" s="1"/>
  <c r="BD14" i="4"/>
  <c r="BD10" i="4"/>
  <c r="BB10" i="4"/>
  <c r="AO10" i="4" s="1"/>
  <c r="AP10" i="4" s="1"/>
  <c r="BB25" i="4"/>
  <c r="AO25" i="4" s="1"/>
  <c r="AP25" i="4" s="1"/>
  <c r="BD25" i="4"/>
  <c r="F9" i="4" l="1"/>
  <c r="G9" i="4" s="1"/>
  <c r="G10" i="4" s="1"/>
  <c r="G11" i="4" s="1"/>
  <c r="F23" i="4"/>
  <c r="G23" i="4" s="1"/>
  <c r="BB9" i="4"/>
  <c r="AO9" i="4" s="1"/>
  <c r="AP9" i="4" s="1"/>
  <c r="F12" i="4"/>
  <c r="G12" i="4" s="1"/>
  <c r="G13" i="4" s="1"/>
  <c r="BB12" i="4"/>
  <c r="AO12" i="4" s="1"/>
  <c r="AP12" i="4" s="1"/>
  <c r="BB27" i="4"/>
  <c r="AO27" i="4" s="1"/>
  <c r="AP27" i="4" s="1"/>
  <c r="L26" i="9"/>
  <c r="M26" i="9" s="1"/>
  <c r="J27" i="9"/>
  <c r="F14" i="4"/>
  <c r="AN9" i="4"/>
  <c r="AN13" i="4"/>
  <c r="J28" i="9" l="1"/>
  <c r="L27" i="9"/>
  <c r="M27" i="9" s="1"/>
  <c r="G14" i="4"/>
  <c r="G15" i="4" s="1"/>
  <c r="G16" i="4" s="1"/>
  <c r="G17" i="4" s="1"/>
  <c r="G18" i="4" s="1"/>
  <c r="J29" i="9" l="1"/>
  <c r="L28" i="9"/>
  <c r="M28" i="9" s="1"/>
  <c r="J30" i="9" l="1"/>
  <c r="L29" i="9"/>
  <c r="M29" i="9" s="1"/>
  <c r="L30" i="9" l="1"/>
  <c r="M30" i="9" s="1"/>
  <c r="J31" i="9"/>
  <c r="L31" i="9" l="1"/>
  <c r="M31" i="9" s="1"/>
  <c r="J32" i="9"/>
  <c r="L32" i="9" s="1"/>
  <c r="M32" i="9" l="1"/>
</calcChain>
</file>

<file path=xl/sharedStrings.xml><?xml version="1.0" encoding="utf-8"?>
<sst xmlns="http://schemas.openxmlformats.org/spreadsheetml/2006/main" count="264" uniqueCount="149">
  <si>
    <t>ft</t>
  </si>
  <si>
    <t>in</t>
  </si>
  <si>
    <t>mm</t>
  </si>
  <si>
    <t>m</t>
  </si>
  <si>
    <t>Material CTEs</t>
  </si>
  <si>
    <t>TYPE</t>
  </si>
  <si>
    <t>Rounding:</t>
  </si>
  <si>
    <t>Nylon</t>
  </si>
  <si>
    <t>Curved, w end fitting</t>
  </si>
  <si>
    <t>L(ft)</t>
  </si>
  <si>
    <t>TMTF Temp Correction Off:</t>
  </si>
  <si>
    <t>Leave blank to use temp corrections.</t>
  </si>
  <si>
    <t>Steel</t>
  </si>
  <si>
    <t>Curved, w/o end fitting</t>
  </si>
  <si>
    <t>Standard Test Frame Temp:</t>
  </si>
  <si>
    <t>Enter x to disable.</t>
  </si>
  <si>
    <t>Aluminum</t>
  </si>
  <si>
    <t>Flat, w end fitting</t>
  </si>
  <si>
    <t>None</t>
  </si>
  <si>
    <t>Flat, w/o end fitting</t>
  </si>
  <si>
    <t>TMTF</t>
  </si>
  <si>
    <t>Non-Metal</t>
  </si>
  <si>
    <t>Corr.</t>
  </si>
  <si>
    <t>Material</t>
  </si>
  <si>
    <t>Type:</t>
  </si>
  <si>
    <t>Test Pt.</t>
  </si>
  <si>
    <t>Unit</t>
  </si>
  <si>
    <t>Deviation</t>
  </si>
  <si>
    <t>Corrected Result</t>
  </si>
  <si>
    <t>Tolerance</t>
  </si>
  <si>
    <t>Unc.@ k=2</t>
  </si>
  <si>
    <t>Second Run</t>
  </si>
  <si>
    <t>Third</t>
  </si>
  <si>
    <t>Fourth, etc.</t>
  </si>
  <si>
    <t>Main Tol.</t>
  </si>
  <si>
    <t>Test Pt. (reset)</t>
  </si>
  <si>
    <t>T.P. Conv.</t>
  </si>
  <si>
    <t>Temp Cor.</t>
  </si>
  <si>
    <t>TMTF Value</t>
  </si>
  <si>
    <t>True TMTF Value</t>
  </si>
  <si>
    <t>UUT Value</t>
  </si>
  <si>
    <t>UUT in</t>
  </si>
  <si>
    <t>UUT ft</t>
  </si>
  <si>
    <t>Tol.</t>
  </si>
  <si>
    <t>True UUT Value</t>
  </si>
  <si>
    <t xml:space="preserve">True UUT </t>
  </si>
  <si>
    <t>metric cte</t>
  </si>
  <si>
    <t>UUT CTE Lookup</t>
  </si>
  <si>
    <t>Unc. Unit</t>
  </si>
  <si>
    <t xml:space="preserve">Rounded </t>
  </si>
  <si>
    <t>UUT mm</t>
  </si>
  <si>
    <t>UUT m</t>
  </si>
  <si>
    <t>Tol. Lookup</t>
  </si>
  <si>
    <t>in or mm</t>
  </si>
  <si>
    <t>Zero Point in feet</t>
  </si>
  <si>
    <t>Temp Cor. UUT</t>
  </si>
  <si>
    <t>Temp Cor. TMTF</t>
  </si>
  <si>
    <t>lookup</t>
  </si>
  <si>
    <t>inches</t>
  </si>
  <si>
    <t>(UUT)</t>
  </si>
  <si>
    <t>(TMTF)</t>
  </si>
  <si>
    <t>Unc.</t>
  </si>
  <si>
    <t>row</t>
  </si>
  <si>
    <t>Handbook 44 tolerances for nonmetal</t>
  </si>
  <si>
    <t>nom</t>
  </si>
  <si>
    <t>indicated</t>
  </si>
  <si>
    <t>inch</t>
  </si>
  <si>
    <t>zeroed on 12 inch</t>
  </si>
  <si>
    <t>Temp Range:</t>
  </si>
  <si>
    <t>71.5 to 73.8</t>
  </si>
  <si>
    <t>Indicated</t>
  </si>
  <si>
    <t>adjust. 4 Zero</t>
  </si>
  <si>
    <t>TRUE Dev.</t>
  </si>
  <si>
    <t>°F</t>
  </si>
  <si>
    <t xml:space="preserve">Metric </t>
  </si>
  <si>
    <t>Nominal</t>
  </si>
  <si>
    <t>ind</t>
  </si>
  <si>
    <t>act</t>
  </si>
  <si>
    <t>inch deviation</t>
  </si>
  <si>
    <t>True Result</t>
  </si>
  <si>
    <t>With Only Glass Scale</t>
  </si>
  <si>
    <t>4 in</t>
  </si>
  <si>
    <t>Dev</t>
  </si>
  <si>
    <t>Change</t>
  </si>
  <si>
    <t>Temp Test</t>
  </si>
  <si>
    <t>Distance</t>
  </si>
  <si>
    <t>170 inches</t>
  </si>
  <si>
    <t>reading</t>
  </si>
  <si>
    <t>Temp Dif.</t>
  </si>
  <si>
    <t>South End</t>
  </si>
  <si>
    <t>Observed change in material</t>
  </si>
  <si>
    <t>Resulting CTE</t>
  </si>
  <si>
    <t>TF CTE</t>
  </si>
  <si>
    <t>length test</t>
  </si>
  <si>
    <t>ambient</t>
  </si>
  <si>
    <t>Laser air</t>
  </si>
  <si>
    <t>Difference</t>
  </si>
  <si>
    <t>laser mat</t>
  </si>
  <si>
    <t>Vaisala</t>
  </si>
  <si>
    <t>Ambient</t>
  </si>
  <si>
    <t>Deg</t>
  </si>
  <si>
    <t>1 meter distances</t>
  </si>
  <si>
    <t>Gage Block Setup Required</t>
  </si>
  <si>
    <t>Result</t>
  </si>
  <si>
    <t>Deviation (µm)</t>
  </si>
  <si>
    <t>Dev. µin</t>
  </si>
  <si>
    <t>1 meter</t>
  </si>
  <si>
    <t>2 Meter</t>
  </si>
  <si>
    <t>3 meter</t>
  </si>
  <si>
    <t>4 meters</t>
  </si>
  <si>
    <t>5 meters</t>
  </si>
  <si>
    <t>6 meters</t>
  </si>
  <si>
    <t>7 meters</t>
  </si>
  <si>
    <t>8 meters</t>
  </si>
  <si>
    <t>9 meters</t>
  </si>
  <si>
    <t>10 meters</t>
  </si>
  <si>
    <t>0.5M</t>
  </si>
  <si>
    <t>CTEs from:</t>
  </si>
  <si>
    <t>http://www.engineeringtoolbox.com/linear-expansion-coefficients-d_95.html</t>
  </si>
  <si>
    <t>Date:</t>
  </si>
  <si>
    <t>Action</t>
  </si>
  <si>
    <t>Calculations validated, worksheet locked.</t>
  </si>
  <si>
    <t>Fixed calculation issue for tapes longer than 30 feet.</t>
  </si>
  <si>
    <t>Fixed calculation errors for metric tapes</t>
  </si>
  <si>
    <t>Fixed further calculation errors</t>
  </si>
  <si>
    <t>Finalized and checked calculations for both standard and metric tapes.</t>
  </si>
  <si>
    <t xml:space="preserve">Johnson Gage and Inspection, Inc.     </t>
  </si>
  <si>
    <t>Page</t>
  </si>
  <si>
    <t>of</t>
  </si>
  <si>
    <t>Test and Measurement Results</t>
  </si>
  <si>
    <t>Report #</t>
  </si>
  <si>
    <t>56561-024708-01</t>
  </si>
  <si>
    <t>Mean material Temperature at time of testing:</t>
  </si>
  <si>
    <t>72.7 °F</t>
  </si>
  <si>
    <t>Nominal Size</t>
  </si>
  <si>
    <t>Uncertaint @ k=2</t>
  </si>
  <si>
    <t>CTE Determination Test</t>
  </si>
  <si>
    <t>Initial Mean Temperature:</t>
  </si>
  <si>
    <t>73.9°F</t>
  </si>
  <si>
    <t>Laser @ initial Temp:</t>
  </si>
  <si>
    <t>0.000000 in</t>
  </si>
  <si>
    <t>Length @ initial Temp:</t>
  </si>
  <si>
    <t>170 in</t>
  </si>
  <si>
    <t>Final Mean Temperature:</t>
  </si>
  <si>
    <t>68.6°F</t>
  </si>
  <si>
    <t>Laser @ final Temp:</t>
  </si>
  <si>
    <t>-0.012273 in</t>
  </si>
  <si>
    <t>Resulting Material CTE:</t>
  </si>
  <si>
    <t>0.00001352 in/in/°F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</si>
</sst>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0.0000000"/>
    <numFmt numFmtId="165" formatCode="0.000000"/>
    <numFmt numFmtId="166" formatCode="0.0000000000"/>
    <numFmt numFmtId="167" formatCode="0.000"/>
    <numFmt numFmtId="168" formatCode="0.000000000"/>
    <numFmt numFmtId="169" formatCode="0.00000000"/>
    <numFmt numFmtId="170" formatCode="0.0"/>
    <numFmt numFmtId="171" formatCode="0.0000"/>
    <numFmt numFmtId="172" formatCode="&quot;±&quot;\ 0.000"/>
    <numFmt numFmtId="173" formatCode="00.0\°\F"/>
    <numFmt numFmtId="174" formatCode="0.0000000000000"/>
    <numFmt numFmtId="175" formatCode="0.00000"/>
    <numFmt numFmtId="176" formatCode="\+0&quot;µin&quot;;\-0&quot;µin&quot;"/>
    <numFmt numFmtId="177" formatCode="0&quot;µin&quot;"/>
    <numFmt numFmtId="178" formatCode="#.#&quot;µin&quot;"/>
    <numFmt numFmtId="179" formatCode="0.0000&quot; in&quot;"/>
    <numFmt numFmtId="180" formatCode="0.0000&quot; mm&quot;"/>
    <numFmt numFmtId="181" formatCode="0&quot; µin&quot;"/>
    <numFmt numFmtId="182" formatCode="0&quot; µm&quot;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11"/>
      <color theme="1"/>
      <name val="Calibri"/>
      <family val="2"/>
    </font>
    <font>
      <sz val="10"/>
      <color rgb="FF000000"/>
      <name val="Calibri"/>
      <family val="2"/>
    </font>
    <font>
      <sz val="11"/>
      <color rgb="FF000000"/>
      <name val="Arial"/>
      <family val="2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1"/>
      <color theme="0"/>
      <name val="Calibri"/>
      <family val="2"/>
    </font>
    <font>
      <sz val="11"/>
      <color theme="3" tint="0.79998168889431442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rgb="FF000000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43">
    <xf numFmtId="0" fontId="0" fillId="0" borderId="0" xfId="0"/>
    <xf numFmtId="9" fontId="0" fillId="0" borderId="0" xfId="0" applyNumberFormat="1"/>
    <xf numFmtId="18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6" fontId="0" fillId="0" borderId="0" xfId="0" applyNumberFormat="1"/>
    <xf numFmtId="165" fontId="0" fillId="2" borderId="0" xfId="0" applyNumberFormat="1" applyFill="1"/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4" fontId="0" fillId="0" borderId="0" xfId="0" applyNumberFormat="1"/>
    <xf numFmtId="167" fontId="0" fillId="0" borderId="0" xfId="0" applyNumberFormat="1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169" fontId="0" fillId="0" borderId="0" xfId="0" applyNumberFormat="1"/>
    <xf numFmtId="0" fontId="0" fillId="3" borderId="0" xfId="0" applyFill="1"/>
    <xf numFmtId="170" fontId="0" fillId="0" borderId="0" xfId="0" applyNumberFormat="1"/>
    <xf numFmtId="0" fontId="0" fillId="4" borderId="0" xfId="0" applyFill="1" applyAlignment="1">
      <alignment horizontal="right"/>
    </xf>
    <xf numFmtId="0" fontId="3" fillId="4" borderId="0" xfId="1" applyFill="1"/>
    <xf numFmtId="0" fontId="13" fillId="5" borderId="0" xfId="0" applyFont="1" applyFill="1"/>
    <xf numFmtId="49" fontId="13" fillId="0" borderId="0" xfId="0" applyNumberFormat="1" applyFont="1" applyAlignment="1">
      <alignment horizontal="center"/>
    </xf>
    <xf numFmtId="0" fontId="13" fillId="0" borderId="0" xfId="0" applyFont="1"/>
    <xf numFmtId="0" fontId="13" fillId="5" borderId="0" xfId="0" quotePrefix="1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49" fontId="13" fillId="5" borderId="0" xfId="0" applyNumberFormat="1" applyFont="1" applyFill="1" applyAlignment="1">
      <alignment horizontal="center"/>
    </xf>
    <xf numFmtId="0" fontId="9" fillId="5" borderId="0" xfId="0" applyFont="1" applyFill="1" applyAlignment="1">
      <alignment horizontal="right"/>
    </xf>
    <xf numFmtId="49" fontId="14" fillId="5" borderId="7" xfId="0" applyNumberFormat="1" applyFont="1" applyFill="1" applyBorder="1"/>
    <xf numFmtId="14" fontId="10" fillId="5" borderId="7" xfId="0" applyNumberFormat="1" applyFont="1" applyFill="1" applyBorder="1" applyAlignment="1">
      <alignment horizontal="left"/>
    </xf>
    <xf numFmtId="0" fontId="13" fillId="5" borderId="0" xfId="0" applyFont="1" applyFill="1" applyAlignment="1">
      <alignment horizontal="right"/>
    </xf>
    <xf numFmtId="0" fontId="13" fillId="5" borderId="19" xfId="0" applyFont="1" applyFill="1" applyBorder="1"/>
    <xf numFmtId="49" fontId="11" fillId="5" borderId="11" xfId="0" applyNumberFormat="1" applyFont="1" applyFill="1" applyBorder="1" applyAlignment="1">
      <alignment horizontal="center" wrapText="1"/>
    </xf>
    <xf numFmtId="0" fontId="11" fillId="5" borderId="11" xfId="0" applyFont="1" applyFill="1" applyBorder="1" applyAlignment="1">
      <alignment horizontal="center" wrapText="1"/>
    </xf>
    <xf numFmtId="49" fontId="13" fillId="5" borderId="14" xfId="0" applyNumberFormat="1" applyFont="1" applyFill="1" applyBorder="1" applyAlignment="1">
      <alignment horizontal="center" shrinkToFit="1"/>
    </xf>
    <xf numFmtId="179" fontId="13" fillId="5" borderId="15" xfId="0" applyNumberFormat="1" applyFont="1" applyFill="1" applyBorder="1" applyAlignment="1">
      <alignment horizontal="center"/>
    </xf>
    <xf numFmtId="176" fontId="12" fillId="5" borderId="10" xfId="0" applyNumberFormat="1" applyFont="1" applyFill="1" applyBorder="1" applyAlignment="1">
      <alignment horizontal="center"/>
    </xf>
    <xf numFmtId="178" fontId="13" fillId="5" borderId="9" xfId="0" quotePrefix="1" applyNumberFormat="1" applyFont="1" applyFill="1" applyBorder="1" applyAlignment="1">
      <alignment horizontal="center"/>
    </xf>
    <xf numFmtId="49" fontId="17" fillId="5" borderId="14" xfId="0" applyNumberFormat="1" applyFont="1" applyFill="1" applyBorder="1" applyAlignment="1">
      <alignment horizontal="center" shrinkToFit="1"/>
    </xf>
    <xf numFmtId="180" fontId="13" fillId="5" borderId="15" xfId="0" applyNumberFormat="1" applyFont="1" applyFill="1" applyBorder="1" applyAlignment="1">
      <alignment horizontal="center"/>
    </xf>
    <xf numFmtId="175" fontId="13" fillId="5" borderId="14" xfId="0" applyNumberFormat="1" applyFont="1" applyFill="1" applyBorder="1" applyAlignment="1">
      <alignment horizontal="center"/>
    </xf>
    <xf numFmtId="176" fontId="12" fillId="5" borderId="20" xfId="0" applyNumberFormat="1" applyFont="1" applyFill="1" applyBorder="1" applyAlignment="1">
      <alignment horizontal="center"/>
    </xf>
    <xf numFmtId="177" fontId="15" fillId="5" borderId="14" xfId="0" applyNumberFormat="1" applyFont="1" applyFill="1" applyBorder="1" applyAlignment="1">
      <alignment horizontal="center"/>
    </xf>
    <xf numFmtId="178" fontId="13" fillId="5" borderId="17" xfId="0" quotePrefix="1" applyNumberFormat="1" applyFont="1" applyFill="1" applyBorder="1" applyAlignment="1">
      <alignment horizontal="center"/>
    </xf>
    <xf numFmtId="49" fontId="17" fillId="5" borderId="20" xfId="0" applyNumberFormat="1" applyFont="1" applyFill="1" applyBorder="1" applyAlignment="1">
      <alignment horizontal="center" shrinkToFit="1"/>
    </xf>
    <xf numFmtId="0" fontId="0" fillId="0" borderId="23" xfId="0" applyBorder="1"/>
    <xf numFmtId="176" fontId="12" fillId="5" borderId="18" xfId="0" applyNumberFormat="1" applyFont="1" applyFill="1" applyBorder="1" applyAlignment="1">
      <alignment horizontal="center"/>
    </xf>
    <xf numFmtId="177" fontId="15" fillId="5" borderId="18" xfId="0" applyNumberFormat="1" applyFont="1" applyFill="1" applyBorder="1" applyAlignment="1">
      <alignment horizontal="center"/>
    </xf>
    <xf numFmtId="178" fontId="13" fillId="5" borderId="18" xfId="0" quotePrefix="1" applyNumberFormat="1" applyFont="1" applyFill="1" applyBorder="1" applyAlignment="1">
      <alignment horizontal="center"/>
    </xf>
    <xf numFmtId="0" fontId="13" fillId="5" borderId="20" xfId="0" applyFont="1" applyFill="1" applyBorder="1"/>
    <xf numFmtId="176" fontId="12" fillId="5" borderId="0" xfId="0" applyNumberFormat="1" applyFont="1" applyFill="1" applyAlignment="1">
      <alignment horizontal="right"/>
    </xf>
    <xf numFmtId="177" fontId="15" fillId="5" borderId="0" xfId="0" applyNumberFormat="1" applyFont="1" applyFill="1" applyAlignment="1">
      <alignment horizontal="center"/>
    </xf>
    <xf numFmtId="178" fontId="13" fillId="5" borderId="0" xfId="0" quotePrefix="1" applyNumberFormat="1" applyFont="1" applyFill="1" applyAlignment="1">
      <alignment horizontal="center"/>
    </xf>
    <xf numFmtId="175" fontId="13" fillId="5" borderId="20" xfId="0" applyNumberFormat="1" applyFont="1" applyFill="1" applyBorder="1" applyAlignment="1">
      <alignment horizontal="center"/>
    </xf>
    <xf numFmtId="177" fontId="15" fillId="5" borderId="0" xfId="0" quotePrefix="1" applyNumberFormat="1" applyFont="1" applyFill="1" applyAlignment="1">
      <alignment horizontal="center"/>
    </xf>
    <xf numFmtId="49" fontId="17" fillId="5" borderId="15" xfId="0" applyNumberFormat="1" applyFont="1" applyFill="1" applyBorder="1" applyAlignment="1">
      <alignment horizontal="center" shrinkToFit="1"/>
    </xf>
    <xf numFmtId="175" fontId="13" fillId="5" borderId="10" xfId="0" applyNumberFormat="1" applyFont="1" applyFill="1" applyBorder="1" applyAlignment="1">
      <alignment horizontal="center"/>
    </xf>
    <xf numFmtId="176" fontId="12" fillId="5" borderId="11" xfId="0" applyNumberFormat="1" applyFont="1" applyFill="1" applyBorder="1" applyAlignment="1">
      <alignment horizontal="right"/>
    </xf>
    <xf numFmtId="177" fontId="15" fillId="5" borderId="11" xfId="0" applyNumberFormat="1" applyFont="1" applyFill="1" applyBorder="1" applyAlignment="1">
      <alignment horizontal="center"/>
    </xf>
    <xf numFmtId="178" fontId="13" fillId="5" borderId="11" xfId="0" quotePrefix="1" applyNumberFormat="1" applyFont="1" applyFill="1" applyBorder="1" applyAlignment="1">
      <alignment horizontal="center"/>
    </xf>
    <xf numFmtId="0" fontId="18" fillId="5" borderId="0" xfId="0" applyFont="1" applyFill="1" applyAlignment="1">
      <alignment horizontal="center"/>
    </xf>
    <xf numFmtId="0" fontId="18" fillId="5" borderId="0" xfId="0" quotePrefix="1" applyFont="1" applyFill="1" applyAlignment="1">
      <alignment horizontal="center"/>
    </xf>
    <xf numFmtId="0" fontId="0" fillId="2" borderId="0" xfId="0" applyFill="1"/>
    <xf numFmtId="0" fontId="0" fillId="0" borderId="11" xfId="0" applyBorder="1"/>
    <xf numFmtId="0" fontId="1" fillId="0" borderId="11" xfId="0" applyFont="1" applyBorder="1"/>
    <xf numFmtId="0" fontId="4" fillId="0" borderId="0" xfId="0" applyFont="1"/>
    <xf numFmtId="0" fontId="19" fillId="0" borderId="0" xfId="0" applyFont="1"/>
    <xf numFmtId="0" fontId="19" fillId="0" borderId="0" xfId="0" applyFont="1" applyAlignment="1">
      <alignment horizontal="center"/>
    </xf>
    <xf numFmtId="0" fontId="4" fillId="0" borderId="1" xfId="0" applyFont="1" applyBorder="1"/>
    <xf numFmtId="0" fontId="4" fillId="0" borderId="3" xfId="0" applyFont="1" applyBorder="1"/>
    <xf numFmtId="0" fontId="4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20" fillId="0" borderId="0" xfId="0" applyFont="1"/>
    <xf numFmtId="0" fontId="20" fillId="0" borderId="0" xfId="0" applyFont="1" applyAlignment="1">
      <alignment horizontal="center"/>
    </xf>
    <xf numFmtId="0" fontId="21" fillId="0" borderId="0" xfId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9" fillId="0" borderId="0" xfId="0" applyFont="1" applyAlignment="1">
      <alignment horizontal="right"/>
    </xf>
    <xf numFmtId="0" fontId="4" fillId="0" borderId="4" xfId="0" applyFont="1" applyBorder="1" applyAlignment="1">
      <alignment horizontal="right"/>
    </xf>
    <xf numFmtId="169" fontId="4" fillId="0" borderId="5" xfId="0" applyNumberFormat="1" applyFont="1" applyBorder="1"/>
    <xf numFmtId="0" fontId="4" fillId="0" borderId="4" xfId="0" applyFont="1" applyBorder="1"/>
    <xf numFmtId="0" fontId="4" fillId="0" borderId="5" xfId="0" applyFont="1" applyBorder="1" applyAlignment="1">
      <alignment horizontal="right"/>
    </xf>
    <xf numFmtId="169" fontId="4" fillId="0" borderId="5" xfId="0" applyNumberFormat="1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169" fontId="4" fillId="0" borderId="8" xfId="0" applyNumberFormat="1" applyFont="1" applyBorder="1"/>
    <xf numFmtId="169" fontId="4" fillId="0" borderId="0" xfId="0" applyNumberFormat="1" applyFont="1"/>
    <xf numFmtId="0" fontId="6" fillId="0" borderId="0" xfId="0" applyFont="1" applyAlignment="1">
      <alignment horizontal="center"/>
    </xf>
    <xf numFmtId="0" fontId="4" fillId="0" borderId="9" xfId="0" applyFont="1" applyBorder="1" applyAlignment="1" applyProtection="1">
      <alignment horizontal="center"/>
      <protection locked="0"/>
    </xf>
    <xf numFmtId="167" fontId="4" fillId="0" borderId="9" xfId="0" applyNumberFormat="1" applyFont="1" applyBorder="1" applyAlignment="1" applyProtection="1">
      <alignment horizontal="center"/>
      <protection locked="0"/>
    </xf>
    <xf numFmtId="0" fontId="6" fillId="0" borderId="11" xfId="0" applyFont="1" applyBorder="1" applyAlignment="1">
      <alignment horizontal="left"/>
    </xf>
    <xf numFmtId="164" fontId="19" fillId="0" borderId="0" xfId="0" applyNumberFormat="1" applyFont="1" applyAlignment="1">
      <alignment horizontal="center"/>
    </xf>
    <xf numFmtId="1" fontId="19" fillId="0" borderId="0" xfId="0" applyNumberFormat="1" applyFont="1" applyAlignment="1">
      <alignment horizontal="center"/>
    </xf>
    <xf numFmtId="164" fontId="20" fillId="0" borderId="0" xfId="0" applyNumberFormat="1" applyFont="1" applyAlignment="1">
      <alignment horizontal="center"/>
    </xf>
    <xf numFmtId="0" fontId="20" fillId="0" borderId="0" xfId="0" quotePrefix="1" applyFont="1" applyAlignment="1">
      <alignment horizontal="center"/>
    </xf>
    <xf numFmtId="172" fontId="20" fillId="0" borderId="0" xfId="0" applyNumberFormat="1" applyFont="1" applyAlignment="1">
      <alignment horizontal="center"/>
    </xf>
    <xf numFmtId="174" fontId="20" fillId="0" borderId="0" xfId="0" applyNumberFormat="1" applyFont="1" applyAlignment="1">
      <alignment horizontal="center"/>
    </xf>
    <xf numFmtId="167" fontId="19" fillId="0" borderId="0" xfId="0" applyNumberFormat="1" applyFont="1" applyAlignment="1">
      <alignment horizontal="center"/>
    </xf>
    <xf numFmtId="172" fontId="19" fillId="0" borderId="0" xfId="0" applyNumberFormat="1" applyFont="1"/>
    <xf numFmtId="171" fontId="4" fillId="0" borderId="0" xfId="0" applyNumberFormat="1" applyFont="1"/>
    <xf numFmtId="1" fontId="20" fillId="0" borderId="0" xfId="0" applyNumberFormat="1" applyFont="1" applyAlignment="1">
      <alignment horizontal="center"/>
    </xf>
    <xf numFmtId="171" fontId="4" fillId="0" borderId="0" xfId="0" applyNumberFormat="1" applyFont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9" xfId="0" quotePrefix="1" applyFont="1" applyBorder="1" applyAlignment="1">
      <alignment horizontal="center"/>
    </xf>
    <xf numFmtId="0" fontId="6" fillId="2" borderId="9" xfId="0" applyFont="1" applyFill="1" applyBorder="1"/>
    <xf numFmtId="0" fontId="4" fillId="0" borderId="24" xfId="0" applyFont="1" applyBorder="1" applyAlignment="1" applyProtection="1">
      <alignment horizontal="center"/>
      <protection locked="0"/>
    </xf>
    <xf numFmtId="0" fontId="4" fillId="0" borderId="13" xfId="0" applyFont="1" applyBorder="1" applyAlignment="1" applyProtection="1">
      <alignment horizontal="center"/>
      <protection locked="0"/>
    </xf>
    <xf numFmtId="0" fontId="6" fillId="0" borderId="9" xfId="0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4" fillId="2" borderId="0" xfId="0" applyFont="1" applyFill="1" applyProtection="1">
      <protection locked="0"/>
    </xf>
    <xf numFmtId="0" fontId="4" fillId="2" borderId="0" xfId="0" applyFont="1" applyFill="1" applyAlignment="1">
      <alignment horizontal="left"/>
    </xf>
    <xf numFmtId="0" fontId="4" fillId="2" borderId="0" xfId="0" applyFont="1" applyFill="1" applyAlignment="1">
      <alignment horizontal="center"/>
    </xf>
    <xf numFmtId="173" fontId="6" fillId="2" borderId="0" xfId="0" applyNumberFormat="1" applyFont="1" applyFill="1" applyProtection="1">
      <protection locked="0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8" xfId="0" applyFont="1" applyBorder="1" applyAlignment="1">
      <alignment horizontal="center"/>
    </xf>
    <xf numFmtId="181" fontId="16" fillId="5" borderId="12" xfId="0" quotePrefix="1" applyNumberFormat="1" applyFont="1" applyFill="1" applyBorder="1" applyAlignment="1">
      <alignment horizontal="center"/>
    </xf>
    <xf numFmtId="181" fontId="16" fillId="5" borderId="13" xfId="0" quotePrefix="1" applyNumberFormat="1" applyFont="1" applyFill="1" applyBorder="1" applyAlignment="1">
      <alignment horizontal="center"/>
    </xf>
    <xf numFmtId="0" fontId="7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1" fillId="5" borderId="11" xfId="0" applyFont="1" applyFill="1" applyBorder="1" applyAlignment="1">
      <alignment horizontal="center"/>
    </xf>
    <xf numFmtId="182" fontId="16" fillId="5" borderId="12" xfId="0" quotePrefix="1" applyNumberFormat="1" applyFont="1" applyFill="1" applyBorder="1" applyAlignment="1">
      <alignment horizontal="center"/>
    </xf>
    <xf numFmtId="182" fontId="16" fillId="5" borderId="13" xfId="0" quotePrefix="1" applyNumberFormat="1" applyFont="1" applyFill="1" applyBorder="1" applyAlignment="1">
      <alignment horizontal="center"/>
    </xf>
    <xf numFmtId="0" fontId="16" fillId="5" borderId="18" xfId="0" quotePrefix="1" applyFont="1" applyFill="1" applyBorder="1" applyAlignment="1">
      <alignment horizontal="left"/>
    </xf>
    <xf numFmtId="0" fontId="16" fillId="5" borderId="21" xfId="0" quotePrefix="1" applyFont="1" applyFill="1" applyBorder="1" applyAlignment="1">
      <alignment horizontal="left"/>
    </xf>
    <xf numFmtId="175" fontId="13" fillId="5" borderId="23" xfId="0" applyNumberFormat="1" applyFont="1" applyFill="1" applyBorder="1" applyAlignment="1">
      <alignment horizontal="center"/>
    </xf>
    <xf numFmtId="175" fontId="13" fillId="5" borderId="18" xfId="0" applyNumberFormat="1" applyFont="1" applyFill="1" applyBorder="1" applyAlignment="1">
      <alignment horizontal="center"/>
    </xf>
    <xf numFmtId="175" fontId="13" fillId="5" borderId="21" xfId="0" applyNumberFormat="1" applyFont="1" applyFill="1" applyBorder="1" applyAlignment="1">
      <alignment horizontal="center"/>
    </xf>
    <xf numFmtId="0" fontId="16" fillId="5" borderId="11" xfId="0" quotePrefix="1" applyFont="1" applyFill="1" applyBorder="1" applyAlignment="1">
      <alignment horizontal="left"/>
    </xf>
    <xf numFmtId="0" fontId="16" fillId="5" borderId="16" xfId="0" quotePrefix="1" applyFont="1" applyFill="1" applyBorder="1" applyAlignment="1">
      <alignment horizontal="left"/>
    </xf>
    <xf numFmtId="0" fontId="16" fillId="5" borderId="0" xfId="0" quotePrefix="1" applyFont="1" applyFill="1" applyAlignment="1">
      <alignment horizontal="left"/>
    </xf>
    <xf numFmtId="0" fontId="16" fillId="5" borderId="22" xfId="0" quotePrefix="1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kabler/OneDrive%20-%20Johnson%20Gage%20and%20Inspection,%20Inc/Documents/Server/disk%201/Users/johnny/Documents/Current%20Excel%20Docs/2014%20Gage%20Block%20Cals/GB1214H%20SET%208%20LIGHTBLUE%20WITH%20D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orksheet"/>
      <sheetName val="Tolerance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gineeringtoolbox.com/linear-expansion-coefficients-d_95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B205"/>
  <sheetViews>
    <sheetView tabSelected="1" zoomScaleNormal="100" workbookViewId="0">
      <selection activeCell="M19" sqref="M19"/>
    </sheetView>
  </sheetViews>
  <sheetFormatPr defaultColWidth="9.140625" defaultRowHeight="15" x14ac:dyDescent="0.25"/>
  <cols>
    <col min="1" max="1" width="11" style="71" customWidth="1"/>
    <col min="2" max="2" width="7.5703125" style="71" customWidth="1"/>
    <col min="3" max="3" width="7.28515625" style="81" customWidth="1"/>
    <col min="4" max="4" width="8.42578125" style="81" customWidth="1"/>
    <col min="5" max="5" width="9.5703125" style="81" bestFit="1" customWidth="1"/>
    <col min="6" max="6" width="15.85546875" style="81" customWidth="1"/>
    <col min="7" max="7" width="11.5703125" style="81" customWidth="1"/>
    <col min="8" max="8" width="12.85546875" style="71" customWidth="1"/>
    <col min="9" max="9" width="10.85546875" style="71" customWidth="1"/>
    <col min="10" max="10" width="12" style="71" bestFit="1" customWidth="1"/>
    <col min="11" max="11" width="5.5703125" style="71" bestFit="1" customWidth="1"/>
    <col min="12" max="12" width="6.85546875" style="71" bestFit="1" customWidth="1"/>
    <col min="13" max="13" width="14.7109375" style="71" customWidth="1"/>
    <col min="14" max="15" width="7" style="71" bestFit="1" customWidth="1"/>
    <col min="16" max="17" width="10.140625" style="71" customWidth="1"/>
    <col min="18" max="18" width="9.5703125" style="71" bestFit="1" customWidth="1"/>
    <col min="19" max="20" width="4" style="71" bestFit="1" customWidth="1"/>
    <col min="21" max="21" width="5" style="71" bestFit="1" customWidth="1"/>
    <col min="22" max="22" width="10.28515625" style="71" bestFit="1" customWidth="1"/>
    <col min="23" max="23" width="9.5703125" style="71" customWidth="1"/>
    <col min="24" max="24" width="12.5703125" style="71" customWidth="1"/>
    <col min="25" max="26" width="11.5703125" style="71" bestFit="1" customWidth="1"/>
    <col min="27" max="27" width="13.85546875" style="78" customWidth="1"/>
    <col min="28" max="28" width="9.140625" style="78"/>
    <col min="29" max="33" width="14" style="79" customWidth="1"/>
    <col min="34" max="34" width="15.85546875" style="79" bestFit="1" customWidth="1"/>
    <col min="35" max="35" width="14" style="79" customWidth="1"/>
    <col min="36" max="36" width="20" style="79" customWidth="1"/>
    <col min="37" max="37" width="14" style="79" customWidth="1"/>
    <col min="38" max="38" width="15.140625" style="79" customWidth="1"/>
    <col min="39" max="39" width="19.85546875" style="79" customWidth="1"/>
    <col min="40" max="41" width="21" style="79" customWidth="1"/>
    <col min="42" max="42" width="15.42578125" style="79" customWidth="1"/>
    <col min="43" max="43" width="9.140625" style="78"/>
    <col min="44" max="47" width="14" style="79" customWidth="1"/>
    <col min="48" max="48" width="13.85546875" style="79" customWidth="1"/>
    <col min="49" max="51" width="12.28515625" style="81" customWidth="1"/>
    <col min="52" max="52" width="13.7109375" style="81" bestFit="1" customWidth="1"/>
    <col min="53" max="53" width="15.85546875" style="81" bestFit="1" customWidth="1"/>
    <col min="54" max="56" width="12.28515625" style="81" customWidth="1"/>
    <col min="57" max="58" width="10.42578125" style="81" customWidth="1"/>
    <col min="59" max="59" width="10.28515625" style="81" customWidth="1"/>
    <col min="60" max="77" width="9.140625" style="71"/>
    <col min="78" max="78" width="9.5703125" style="71" bestFit="1" customWidth="1"/>
    <col min="79" max="16384" width="9.140625" style="71"/>
  </cols>
  <sheetData>
    <row r="1" spans="1:80" ht="15.75" x14ac:dyDescent="0.25">
      <c r="B1" s="72"/>
      <c r="C1" s="73"/>
      <c r="D1" s="73" t="s">
        <v>0</v>
      </c>
      <c r="E1" s="73" t="s">
        <v>1</v>
      </c>
      <c r="F1" s="73" t="s">
        <v>2</v>
      </c>
      <c r="G1" s="73" t="s">
        <v>3</v>
      </c>
      <c r="H1" s="74" t="s">
        <v>4</v>
      </c>
      <c r="I1" s="75"/>
      <c r="K1" s="121" t="s">
        <v>5</v>
      </c>
      <c r="L1" s="122"/>
      <c r="M1" s="123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7"/>
      <c r="AF1" s="80"/>
    </row>
    <row r="2" spans="1:80" x14ac:dyDescent="0.25">
      <c r="B2" s="72"/>
      <c r="C2" s="82" t="s">
        <v>6</v>
      </c>
      <c r="D2" s="73">
        <v>1.0000000000000001E-5</v>
      </c>
      <c r="E2" s="73">
        <v>1E-3</v>
      </c>
      <c r="F2" s="73">
        <v>0.01</v>
      </c>
      <c r="G2" s="73">
        <f>F2*0.001</f>
        <v>1.0000000000000001E-5</v>
      </c>
      <c r="H2" s="83" t="s">
        <v>7</v>
      </c>
      <c r="I2" s="84">
        <v>4.0000000000000003E-5</v>
      </c>
      <c r="K2" s="85">
        <v>1</v>
      </c>
      <c r="M2" s="86" t="s">
        <v>8</v>
      </c>
      <c r="N2" s="82">
        <v>1.18E-2</v>
      </c>
      <c r="O2" s="72">
        <v>1.18E-2</v>
      </c>
      <c r="P2" s="82">
        <v>2E-3</v>
      </c>
      <c r="Q2" s="82" t="s">
        <v>9</v>
      </c>
      <c r="S2" s="76"/>
      <c r="T2" s="76"/>
      <c r="U2" s="76"/>
      <c r="V2" s="76"/>
      <c r="W2" s="76"/>
      <c r="X2" s="76"/>
      <c r="Y2" s="76"/>
      <c r="Z2" s="76"/>
      <c r="AA2" s="77"/>
    </row>
    <row r="3" spans="1:80" x14ac:dyDescent="0.25">
      <c r="A3" s="115"/>
      <c r="B3" s="115"/>
      <c r="C3" s="116" t="s">
        <v>10</v>
      </c>
      <c r="D3" s="117"/>
      <c r="E3" s="118" t="s">
        <v>11</v>
      </c>
      <c r="F3" s="119"/>
      <c r="G3" s="71"/>
      <c r="H3" s="83" t="s">
        <v>12</v>
      </c>
      <c r="I3" s="84">
        <v>6.7000000000000002E-6</v>
      </c>
      <c r="K3" s="85">
        <v>2</v>
      </c>
      <c r="M3" s="87" t="s">
        <v>13</v>
      </c>
      <c r="N3" s="82">
        <v>1.18E-2</v>
      </c>
      <c r="O3" s="72">
        <v>0</v>
      </c>
      <c r="P3" s="82">
        <v>2E-3</v>
      </c>
      <c r="Q3" s="82" t="s">
        <v>9</v>
      </c>
      <c r="S3" s="76"/>
      <c r="T3" s="76"/>
      <c r="U3" s="76"/>
      <c r="V3" s="76"/>
      <c r="W3" s="76"/>
      <c r="X3" s="76"/>
      <c r="Y3" s="76"/>
      <c r="Z3" s="76"/>
      <c r="AA3" s="77"/>
    </row>
    <row r="4" spans="1:80" x14ac:dyDescent="0.25">
      <c r="A4" s="115"/>
      <c r="B4" s="115"/>
      <c r="C4" s="116" t="s">
        <v>14</v>
      </c>
      <c r="D4" s="120"/>
      <c r="E4" s="118" t="s">
        <v>15</v>
      </c>
      <c r="F4" s="119"/>
      <c r="H4" s="83" t="s">
        <v>16</v>
      </c>
      <c r="I4" s="84">
        <v>1.2300000000000001E-5</v>
      </c>
      <c r="K4" s="85">
        <v>3</v>
      </c>
      <c r="M4" s="87" t="s">
        <v>17</v>
      </c>
      <c r="N4" s="82">
        <v>1.18E-2</v>
      </c>
      <c r="O4" s="72">
        <v>1.18E-2</v>
      </c>
      <c r="P4" s="82">
        <v>1.5E-3</v>
      </c>
      <c r="Q4" s="82" t="s">
        <v>9</v>
      </c>
      <c r="S4" s="76"/>
      <c r="T4" s="76"/>
      <c r="U4" s="76"/>
      <c r="V4" s="76"/>
      <c r="W4" s="76"/>
      <c r="X4" s="76"/>
      <c r="Y4" s="76"/>
      <c r="Z4" s="76"/>
      <c r="AA4" s="77"/>
    </row>
    <row r="5" spans="1:80" ht="15.75" thickBot="1" x14ac:dyDescent="0.3">
      <c r="B5" s="82"/>
      <c r="C5" s="82">
        <f>D5/1.8</f>
        <v>-17.777777777777779</v>
      </c>
      <c r="D5" s="82">
        <f>D4-32</f>
        <v>-32</v>
      </c>
      <c r="F5" s="71"/>
      <c r="H5" s="88" t="s">
        <v>18</v>
      </c>
      <c r="I5" s="89">
        <v>0</v>
      </c>
      <c r="J5" s="90"/>
      <c r="K5" s="85">
        <v>4</v>
      </c>
      <c r="M5" s="86" t="s">
        <v>19</v>
      </c>
      <c r="N5" s="82">
        <v>1.18E-2</v>
      </c>
      <c r="O5" s="72">
        <v>0</v>
      </c>
      <c r="P5" s="82">
        <v>1.5E-3</v>
      </c>
      <c r="Q5" s="82" t="s">
        <v>9</v>
      </c>
      <c r="S5" s="76"/>
      <c r="T5" s="76"/>
      <c r="U5" s="76"/>
      <c r="V5" s="76"/>
      <c r="W5" s="76"/>
      <c r="X5" s="76"/>
      <c r="Y5" s="76"/>
      <c r="Z5" s="76"/>
      <c r="AA5" s="77"/>
    </row>
    <row r="6" spans="1:80" ht="15.75" thickBot="1" x14ac:dyDescent="0.3">
      <c r="H6" s="82" t="s">
        <v>20</v>
      </c>
      <c r="I6" s="82">
        <f>IF(D3="X",0,'CTE Determination'!I6)</f>
        <v>1.3519497686715135E-5</v>
      </c>
      <c r="J6" s="82">
        <f>(I6*1.8)*1000</f>
        <v>2.4335095836087242E-2</v>
      </c>
      <c r="K6" s="85">
        <v>5</v>
      </c>
      <c r="L6" s="125" t="s">
        <v>21</v>
      </c>
      <c r="M6" s="126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G6" s="79" t="s">
        <v>22</v>
      </c>
      <c r="AI6" s="79" t="s">
        <v>22</v>
      </c>
      <c r="AW6" s="73"/>
      <c r="AX6" s="73"/>
      <c r="AY6" s="73"/>
      <c r="AZ6" s="73" t="s">
        <v>22</v>
      </c>
      <c r="BA6" s="73"/>
      <c r="BB6" s="73" t="s">
        <v>22</v>
      </c>
      <c r="BC6" s="73"/>
      <c r="BD6" s="73"/>
      <c r="BE6" s="73"/>
      <c r="BF6" s="73"/>
      <c r="BG6" s="73"/>
      <c r="BH6" s="72"/>
      <c r="BI6" s="72"/>
      <c r="BJ6" s="72"/>
      <c r="BK6" s="72"/>
      <c r="BL6" s="72"/>
      <c r="BM6" s="72"/>
      <c r="BN6" s="72"/>
      <c r="BO6" s="72"/>
      <c r="BP6" s="72"/>
      <c r="BQ6" s="72"/>
      <c r="BR6" s="72"/>
      <c r="BS6" s="72"/>
      <c r="BT6" s="72"/>
    </row>
    <row r="7" spans="1:80" x14ac:dyDescent="0.25">
      <c r="A7" s="106" t="s">
        <v>23</v>
      </c>
      <c r="B7" s="106" t="s">
        <v>24</v>
      </c>
      <c r="C7" s="106" t="s">
        <v>25</v>
      </c>
      <c r="D7" s="106" t="s">
        <v>26</v>
      </c>
      <c r="E7" s="106" t="s">
        <v>27</v>
      </c>
      <c r="F7" s="107" t="s">
        <v>28</v>
      </c>
      <c r="G7" s="107" t="s">
        <v>27</v>
      </c>
      <c r="H7" s="107" t="s">
        <v>29</v>
      </c>
      <c r="I7" s="108" t="s">
        <v>30</v>
      </c>
      <c r="J7" s="109" t="s">
        <v>31</v>
      </c>
      <c r="K7" s="109" t="s">
        <v>32</v>
      </c>
      <c r="L7" s="109" t="s">
        <v>33</v>
      </c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B7" s="78" t="s">
        <v>34</v>
      </c>
      <c r="AC7" s="79" t="s">
        <v>35</v>
      </c>
      <c r="AD7" s="79" t="s">
        <v>36</v>
      </c>
      <c r="AE7" s="79" t="s">
        <v>37</v>
      </c>
      <c r="AF7" s="79" t="s">
        <v>37</v>
      </c>
      <c r="AG7" s="79" t="s">
        <v>38</v>
      </c>
      <c r="AH7" s="79" t="s">
        <v>39</v>
      </c>
      <c r="AI7" s="79" t="s">
        <v>40</v>
      </c>
      <c r="AJ7" s="79" t="s">
        <v>41</v>
      </c>
      <c r="AK7" s="79" t="s">
        <v>42</v>
      </c>
      <c r="AL7" s="79" t="s">
        <v>43</v>
      </c>
      <c r="AM7" s="79" t="s">
        <v>44</v>
      </c>
      <c r="AN7" s="79" t="s">
        <v>45</v>
      </c>
      <c r="AO7" s="79" t="s">
        <v>44</v>
      </c>
      <c r="AP7" s="79" t="s">
        <v>44</v>
      </c>
      <c r="AQ7" s="79" t="s">
        <v>46</v>
      </c>
      <c r="AR7" s="79" t="s">
        <v>47</v>
      </c>
      <c r="AS7" s="78"/>
      <c r="AT7" s="79" t="s">
        <v>48</v>
      </c>
      <c r="AU7" s="79" t="s">
        <v>49</v>
      </c>
      <c r="AV7" s="79" t="s">
        <v>35</v>
      </c>
      <c r="AW7" s="73" t="s">
        <v>36</v>
      </c>
      <c r="AX7" s="73" t="s">
        <v>37</v>
      </c>
      <c r="AY7" s="73" t="s">
        <v>37</v>
      </c>
      <c r="AZ7" s="73" t="s">
        <v>38</v>
      </c>
      <c r="BA7" s="73" t="s">
        <v>39</v>
      </c>
      <c r="BB7" s="73" t="s">
        <v>40</v>
      </c>
      <c r="BC7" s="73" t="s">
        <v>50</v>
      </c>
      <c r="BD7" s="73" t="s">
        <v>51</v>
      </c>
      <c r="BE7" s="73" t="s">
        <v>43</v>
      </c>
      <c r="BF7" s="73" t="s">
        <v>43</v>
      </c>
      <c r="BG7" s="73" t="s">
        <v>43</v>
      </c>
      <c r="BH7" s="72" t="s">
        <v>43</v>
      </c>
      <c r="BI7" s="72" t="s">
        <v>52</v>
      </c>
      <c r="BJ7" s="72"/>
      <c r="BK7" s="72"/>
      <c r="BL7" s="72"/>
      <c r="BM7" s="72"/>
      <c r="BN7" s="72"/>
      <c r="BO7" s="72"/>
      <c r="BP7" s="72"/>
      <c r="BQ7" s="72"/>
      <c r="BR7" s="72"/>
      <c r="BS7" s="72"/>
      <c r="BT7" s="72"/>
      <c r="BU7" s="72"/>
      <c r="BV7" s="72"/>
      <c r="BW7" s="72"/>
      <c r="BX7" s="72"/>
    </row>
    <row r="8" spans="1:80" x14ac:dyDescent="0.25">
      <c r="A8" s="81"/>
      <c r="B8" s="81"/>
      <c r="E8" s="81" t="s">
        <v>53</v>
      </c>
      <c r="F8" s="91"/>
      <c r="G8" s="91"/>
      <c r="H8" s="91"/>
      <c r="I8" s="91"/>
      <c r="J8" s="125" t="s">
        <v>54</v>
      </c>
      <c r="K8" s="125"/>
      <c r="L8" s="125"/>
      <c r="M8" s="124" t="s">
        <v>55</v>
      </c>
      <c r="N8" s="124"/>
      <c r="O8" s="124"/>
      <c r="P8" s="124"/>
      <c r="Q8" s="124"/>
      <c r="R8" s="124"/>
      <c r="S8" s="124" t="s">
        <v>56</v>
      </c>
      <c r="T8" s="124"/>
      <c r="U8" s="124"/>
      <c r="V8" s="124"/>
      <c r="W8" s="124"/>
      <c r="X8" s="124"/>
      <c r="Y8" s="73"/>
      <c r="Z8" s="73"/>
      <c r="AA8" s="79"/>
      <c r="AB8" s="78" t="s">
        <v>57</v>
      </c>
      <c r="AC8" s="79" t="s">
        <v>58</v>
      </c>
      <c r="AE8" s="79" t="s">
        <v>59</v>
      </c>
      <c r="AF8" s="79" t="s">
        <v>60</v>
      </c>
      <c r="AG8" s="79" t="s">
        <v>1</v>
      </c>
      <c r="AH8" s="79" t="s">
        <v>1</v>
      </c>
      <c r="AI8" s="79" t="s">
        <v>1</v>
      </c>
      <c r="AL8" s="79" t="s">
        <v>1</v>
      </c>
      <c r="AM8" s="79" t="s">
        <v>1</v>
      </c>
      <c r="AN8" s="79" t="s">
        <v>0</v>
      </c>
      <c r="AO8" s="79" t="s">
        <v>2</v>
      </c>
      <c r="AP8" s="79" t="s">
        <v>3</v>
      </c>
      <c r="AQ8" s="79"/>
      <c r="AU8" s="79" t="s">
        <v>61</v>
      </c>
      <c r="AV8" s="79" t="s">
        <v>2</v>
      </c>
      <c r="AW8" s="73" t="s">
        <v>2</v>
      </c>
      <c r="AX8" s="73" t="s">
        <v>59</v>
      </c>
      <c r="AY8" s="73" t="s">
        <v>60</v>
      </c>
      <c r="AZ8" s="73" t="s">
        <v>2</v>
      </c>
      <c r="BA8" s="73" t="s">
        <v>2</v>
      </c>
      <c r="BB8" s="73" t="s">
        <v>2</v>
      </c>
      <c r="BC8" s="73"/>
      <c r="BD8" s="73"/>
      <c r="BE8" s="73" t="s">
        <v>2</v>
      </c>
      <c r="BF8" s="73" t="s">
        <v>3</v>
      </c>
      <c r="BG8" s="73" t="s">
        <v>0</v>
      </c>
      <c r="BH8" s="72" t="s">
        <v>1</v>
      </c>
      <c r="BI8" s="72" t="s">
        <v>62</v>
      </c>
      <c r="BJ8" s="72" t="s">
        <v>55</v>
      </c>
      <c r="BK8" s="72"/>
      <c r="BL8" s="72"/>
      <c r="BM8" s="72"/>
      <c r="BN8" s="72"/>
      <c r="BO8" s="72"/>
      <c r="BP8" s="72" t="s">
        <v>56</v>
      </c>
      <c r="BQ8" s="72"/>
      <c r="BR8" s="72"/>
      <c r="BS8" s="72"/>
      <c r="BT8" s="72"/>
      <c r="BU8" s="72"/>
      <c r="BV8" s="72"/>
      <c r="BW8" s="72"/>
      <c r="BX8" s="72"/>
      <c r="BY8" s="71" t="s">
        <v>63</v>
      </c>
    </row>
    <row r="9" spans="1:80" x14ac:dyDescent="0.25">
      <c r="A9" s="92" t="s">
        <v>16</v>
      </c>
      <c r="B9" s="110">
        <v>1</v>
      </c>
      <c r="C9" s="92"/>
      <c r="D9" s="111" t="s">
        <v>1</v>
      </c>
      <c r="E9" s="93"/>
      <c r="F9" s="107" t="str">
        <f>IF(C9="","",IFERROR(MROUND((HLOOKUP(D9,$AM$8:AP9,ROW(D9)-7,FALSE)),HLOOKUP(D9,$D$1:$G$2,2,FALSE)),""))</f>
        <v/>
      </c>
      <c r="G9" s="107" t="str">
        <f>IFERROR(IF(F9-C9&gt;=0,MROUND((F9-C9),HLOOKUP(D9,$D$1:$G$2,2,FALSE)),MROUND(F9-C9,-(HLOOKUP(D9,$D$1:$G$2,2,FALSE)))),"")</f>
        <v/>
      </c>
      <c r="H9" s="94" t="str">
        <f>IF(OR(B9=3,B9=4,B9=5),CONCATENATE("±",CB9," ",D9),IFERROR(CONCATENATE("± ",AB9," ",D9),""))</f>
        <v>± 0.024 in</v>
      </c>
      <c r="I9" s="114" t="str">
        <f t="shared" ref="I9:I32" si="0">IF(D9&lt;&gt;"",CONCATENATE(AU9," ",AT9),"")</f>
        <v>0.014 in</v>
      </c>
      <c r="J9" s="92"/>
      <c r="K9" s="92"/>
      <c r="L9" s="92"/>
      <c r="M9" s="72">
        <f>IF(J9="",C9,J9*12)</f>
        <v>0</v>
      </c>
      <c r="N9" s="72">
        <f t="shared" ref="N9:O9" si="1">K9*12</f>
        <v>0</v>
      </c>
      <c r="O9" s="72">
        <f t="shared" si="1"/>
        <v>0</v>
      </c>
      <c r="P9" s="95">
        <f t="shared" ref="P9:P32" si="2">M9*($D$4-68)*$AR9</f>
        <v>0</v>
      </c>
      <c r="Q9" s="95">
        <f t="shared" ref="Q9:Q32" si="3">N9*($D$4-68)*$AR9</f>
        <v>0</v>
      </c>
      <c r="R9" s="95">
        <f t="shared" ref="R9:R32" si="4">O9*($D$4-68)*$AR9</f>
        <v>0</v>
      </c>
      <c r="S9" s="96">
        <f>IF(J9="",C9,J9*12)</f>
        <v>0</v>
      </c>
      <c r="T9" s="96">
        <f t="shared" ref="T9:U24" si="5">K9*12</f>
        <v>0</v>
      </c>
      <c r="U9" s="96">
        <f t="shared" si="5"/>
        <v>0</v>
      </c>
      <c r="V9" s="95">
        <f>S9*($D$4-'TMTF3 no comps'!$M$3)*calculator!$I$6</f>
        <v>0</v>
      </c>
      <c r="W9" s="95">
        <f>T9*($D$4-'TMTF3 no comps'!$M$3)*calculator!$I$6</f>
        <v>0</v>
      </c>
      <c r="X9" s="95">
        <f>U9*($D$4-'TMTF3 no comps'!$M$3)*calculator!$I$6</f>
        <v>0</v>
      </c>
      <c r="Y9" s="95">
        <f>IF(S9=0,0,VLOOKUP(S9,'TMTF3 no comps'!$B$42:$D$242,3,FALSE)+V9)</f>
        <v>0</v>
      </c>
      <c r="Z9" s="95">
        <f>IF(T9=0,0,VLOOKUP(T9,'TMTF3 no comps'!$B$42:$D$242,3,FALSE)+W9)</f>
        <v>0</v>
      </c>
      <c r="AA9" s="97">
        <f>IF(U9=0,0,VLOOKUP(U9,'TMTF3 no comps'!$B$42:$D$242,3,FALSE)+X9)</f>
        <v>0</v>
      </c>
      <c r="AB9" s="79">
        <f>MROUND(HLOOKUP(D9,$BD$8:BH9,BI9,FALSE),IF(OR(D9="ft",D9="m"),$D$2,$E$2))</f>
        <v>2.4E-2</v>
      </c>
      <c r="AC9" s="98">
        <f>IF(J9="",C9,AD9-M9-N9-O9)</f>
        <v>0</v>
      </c>
      <c r="AD9" s="79">
        <f t="shared" ref="AD9:AD32" si="6">IF(D9="in",C9,IF(D9="ft",C9*12,""))</f>
        <v>0</v>
      </c>
      <c r="AE9" s="97">
        <f t="shared" ref="AE9" si="7">AC9*($D$4-68)*AR9</f>
        <v>0</v>
      </c>
      <c r="AF9" s="97">
        <f>$AC9*($D$4-'TMTF3 no comps'!$M$3)*calculator!$I$6</f>
        <v>0</v>
      </c>
      <c r="AG9" s="97" t="e">
        <f>VLOOKUP(AC9,'TMTF3 no comps'!$B$42:$D$72,3,FALSE)+AF9</f>
        <v>#N/A</v>
      </c>
      <c r="AH9" s="97">
        <f>Y9+Z9+AA9</f>
        <v>0</v>
      </c>
      <c r="AI9" s="97">
        <f t="shared" ref="AI9:AI32" si="8">IF(D9="in",AJ9,IF(D9="ft",AK9*12,""))</f>
        <v>0</v>
      </c>
      <c r="AJ9" s="97">
        <f>IF(J9="",AE9+E9+M9+N9+O9+P9+Q9+R9,AE9+AC9+E9+M9+N9+O9+P9+Q9+R9)</f>
        <v>0</v>
      </c>
      <c r="AK9" s="79">
        <f>AJ9/12</f>
        <v>0</v>
      </c>
      <c r="AL9" s="99">
        <f>IF(D9="ft",(AD9/12)*(VLOOKUP(B9,$K$2:$Q$5,6,FALSE))+((VLOOKUP(B9,$K$2:$Q$5,4,FALSE))+(VLOOKUP(B9,$K$2:$Q$5,5,FALSE))),(C9*(VLOOKUP(B9,$K$2:$Q$5,6,FALSE))+((VLOOKUP(B9,$K$2:$Q$5,4,FALSE))+(VLOOKUP(B9,$K$2:$Q$5,5,FALSE)))))</f>
        <v>2.3599999999999999E-2</v>
      </c>
      <c r="AM9" s="100">
        <f t="shared" ref="AM9:AM21" si="9">AI9-AD9+AH9</f>
        <v>0</v>
      </c>
      <c r="AN9" s="79">
        <f>AM9/12</f>
        <v>0</v>
      </c>
      <c r="AO9" s="100" t="e">
        <f>BB9-AW9+BA9</f>
        <v>#VALUE!</v>
      </c>
      <c r="AP9" s="78" t="e">
        <f>AO9/1000</f>
        <v>#VALUE!</v>
      </c>
      <c r="AQ9" s="79">
        <f>(AR9*1.8)*1000</f>
        <v>2.214E-2</v>
      </c>
      <c r="AR9" s="79">
        <f>VLOOKUP(A9,$H$2:$I$5,2,FALSE)</f>
        <v>1.2300000000000001E-5</v>
      </c>
      <c r="AS9" s="79">
        <f t="shared" ref="AS9:AS32" si="10">IF(OR(D9="m",D9="mm"),(((0.000024*(AW9/25.4))+0.014)*25.4),(0.000024*AD9)+0.014)</f>
        <v>1.4E-2</v>
      </c>
      <c r="AT9" s="79" t="str">
        <f t="shared" ref="AT9:AT32" si="11">IF(OR(D9="m",D9="mm"),"mm","in")</f>
        <v>in</v>
      </c>
      <c r="AU9" s="79">
        <f>ROUND(AS9,2-(1+INT(LOG10(ABS(AS9)))))</f>
        <v>1.4E-2</v>
      </c>
      <c r="AV9" s="98" t="e">
        <f t="shared" ref="AV9:AV32" si="12">AW9-BP9-BQ9-BR9</f>
        <v>#VALUE!</v>
      </c>
      <c r="AW9" s="73" t="str">
        <f t="shared" ref="AW9:AW32" si="13">IF(D9="mm",C9,IF(D9="m",C9*1000,""))</f>
        <v/>
      </c>
      <c r="AX9" s="73" t="e">
        <f t="shared" ref="AX9:AX32" si="14">((AV9)*($C$5-20)*($AQ9)/1000)</f>
        <v>#VALUE!</v>
      </c>
      <c r="AY9" s="73" t="e">
        <f>(($AV9*($C$5-'TMTF3 no comps'!$N$4)*($J$6))/1000)</f>
        <v>#VALUE!</v>
      </c>
      <c r="AZ9" s="95" t="e">
        <f>VLOOKUP(AV9,'TMTF3 no comps'!$G$42:$I$51,3,FALSE)+AY9</f>
        <v>#VALUE!</v>
      </c>
      <c r="BA9" s="95" t="e">
        <f>AZ9+BV9+BW9+BX9</f>
        <v>#VALUE!</v>
      </c>
      <c r="BB9" s="72" t="e">
        <f t="shared" ref="BB9:BB32" si="15">IF(D9="m",BD9*1000,BC9)</f>
        <v>#VALUE!</v>
      </c>
      <c r="BC9" s="101" t="e">
        <f t="shared" ref="BC9:BC32" si="16">AX9+AV9+E9+BJ9+BK9+BL9+BM9+BN9+BO9</f>
        <v>#VALUE!</v>
      </c>
      <c r="BD9" s="73" t="e">
        <f>BC9/1000</f>
        <v>#VALUE!</v>
      </c>
      <c r="BE9" s="73" t="e">
        <f t="shared" ref="BE9:BE32" si="17">MROUND(((AW9/1000)*((VLOOKUP(B9,$K$2:$Q$5,6,FALSE))*(IF(OR(B9=1,B9=2),75,84.6666666667))))+((VLOOKUP(B9,$K$2:$Q$5,4,FALSE)*25.4237288135593)+((VLOOKUP(B9,$K$2:$Q$5,5,FALSE)*25.4237288135593))),$F$2)</f>
        <v>#VALUE!</v>
      </c>
      <c r="BF9" s="73" t="e">
        <f t="shared" ref="BF9:BF32" si="18">MROUND(BE9/1000,$G$2)</f>
        <v>#VALUE!</v>
      </c>
      <c r="BG9" s="73">
        <f t="shared" ref="BG9:BG32" si="19">MROUND(BH9/12,$D$2)</f>
        <v>1.97E-3</v>
      </c>
      <c r="BH9" s="102">
        <f>AL9</f>
        <v>2.3599999999999999E-2</v>
      </c>
      <c r="BI9" s="72">
        <v>2</v>
      </c>
      <c r="BJ9" s="72">
        <f t="shared" ref="BJ9:BJ32" si="20">J9*1000</f>
        <v>0</v>
      </c>
      <c r="BK9" s="72">
        <f t="shared" ref="BK9:BK32" si="21">K9*1000</f>
        <v>0</v>
      </c>
      <c r="BL9" s="72">
        <f t="shared" ref="BL9:BL32" si="22">L9*1000</f>
        <v>0</v>
      </c>
      <c r="BM9" s="72">
        <f t="shared" ref="BM9:BM32" si="23">((BJ9)*($C$5-20)*($AQ9)/1000)</f>
        <v>0</v>
      </c>
      <c r="BN9" s="72">
        <f t="shared" ref="BN9:BN32" si="24">((BK9)*($C$5-20)*($AQ9)/1000)</f>
        <v>0</v>
      </c>
      <c r="BO9" s="72">
        <f t="shared" ref="BO9:BO32" si="25">((BL9)*($C$5-20)*($AQ9)/1000)</f>
        <v>0</v>
      </c>
      <c r="BP9" s="72">
        <f t="shared" ref="BP9:BP32" si="26">J9*1000</f>
        <v>0</v>
      </c>
      <c r="BQ9" s="72">
        <f t="shared" ref="BQ9:BQ32" si="27">K9*1000</f>
        <v>0</v>
      </c>
      <c r="BR9" s="72">
        <f t="shared" ref="BR9:BR32" si="28">L9*1000</f>
        <v>0</v>
      </c>
      <c r="BS9" s="72">
        <f>((BP9*($C$5-'TMTF3 no comps'!$N$4)*($J$6))/1000)</f>
        <v>0</v>
      </c>
      <c r="BT9" s="72">
        <f>((BQ9*($C$5-'TMTF3 no comps'!$N$4)*($J$6))/1000)</f>
        <v>0</v>
      </c>
      <c r="BU9" s="72">
        <f>((BR9*($C$5-'TMTF3 no comps'!$N$4)*($J$6))/1000)</f>
        <v>0</v>
      </c>
      <c r="BV9" s="72">
        <f>IF(BP9=0,0,VLOOKUP(BP9,'TMTF3 no comps'!$G$42:$I$51,3,FALSE)+BS9)</f>
        <v>0</v>
      </c>
      <c r="BW9" s="72">
        <f>IF(BQ9=0,0,VLOOKUP(BQ9,'TMTF3 no comps'!$G$42:$I$51,3,FALSE)+BT9)</f>
        <v>0</v>
      </c>
      <c r="BX9" s="72">
        <f>IF(BR9=0,0,VLOOKUP(BR9,'TMTF3 no comps'!$G$42:$I$51,3,FALSE)+BU9)</f>
        <v>0</v>
      </c>
      <c r="BY9" s="71">
        <v>0.33</v>
      </c>
      <c r="BZ9" s="103">
        <f>1/64</f>
        <v>1.5625E-2</v>
      </c>
      <c r="CA9" s="71" t="s">
        <v>1</v>
      </c>
      <c r="CB9" s="103" t="str">
        <f>IF(OR(B9=3, B9=4,B9=5),VLOOKUP(C9,BY$9:BZ$15,2,TRUE),"")</f>
        <v/>
      </c>
    </row>
    <row r="10" spans="1:80" x14ac:dyDescent="0.25">
      <c r="A10" s="92" t="s">
        <v>16</v>
      </c>
      <c r="B10" s="110">
        <v>1</v>
      </c>
      <c r="C10" s="92"/>
      <c r="D10" s="111" t="s">
        <v>1</v>
      </c>
      <c r="E10" s="93"/>
      <c r="F10" s="107" t="str">
        <f>IF(C10="","",IFERROR(MROUND((HLOOKUP(D10,$AM$8:AP10,ROW(D10)-7,FALSE)),HLOOKUP(D10,$D$1:$G$2,2,FALSE)),""))</f>
        <v/>
      </c>
      <c r="G10" s="107" t="str">
        <f>IFERROR(IF(F10-C10&gt;=0,MROUND((F10-C10),HLOOKUP(D10,$D$1:$G$2,2,FALSE)),MROUND(F10-C10,-(HLOOKUP(D10,$D$1:$G$2,2,FALSE))))-G9,"")</f>
        <v/>
      </c>
      <c r="H10" s="94" t="str">
        <f t="shared" ref="H10:H32" si="29">IF(OR(B10=3,B10=4,B10=5),CONCATENATE("±",CB10," ",D10),IFERROR(CONCATENATE("± ",AB10," ",D10),""))</f>
        <v>± 0.024 in</v>
      </c>
      <c r="I10" s="114" t="str">
        <f t="shared" si="0"/>
        <v>0.014 in</v>
      </c>
      <c r="J10" s="92"/>
      <c r="K10" s="92"/>
      <c r="L10" s="92"/>
      <c r="M10" s="72">
        <f>IF(J10="",C10,J10*12)</f>
        <v>0</v>
      </c>
      <c r="N10" s="72">
        <f t="shared" ref="N10:N32" si="30">K10*12</f>
        <v>0</v>
      </c>
      <c r="O10" s="72">
        <f t="shared" ref="O10:O32" si="31">L10*12</f>
        <v>0</v>
      </c>
      <c r="P10" s="95">
        <f t="shared" si="2"/>
        <v>0</v>
      </c>
      <c r="Q10" s="95">
        <f t="shared" si="3"/>
        <v>0</v>
      </c>
      <c r="R10" s="95">
        <f t="shared" si="4"/>
        <v>0</v>
      </c>
      <c r="S10" s="72">
        <f>IF(J10="",C10,J10*12)</f>
        <v>0</v>
      </c>
      <c r="T10" s="96">
        <f t="shared" si="5"/>
        <v>0</v>
      </c>
      <c r="U10" s="96">
        <f t="shared" si="5"/>
        <v>0</v>
      </c>
      <c r="V10" s="95">
        <f>S10*($D$4-'TMTF3 no comps'!$M$3)*calculator!$I$6</f>
        <v>0</v>
      </c>
      <c r="W10" s="95">
        <f>T10*($D$4-'TMTF3 no comps'!$M$3)*calculator!$I$6</f>
        <v>0</v>
      </c>
      <c r="X10" s="95">
        <f>U10*($D$4-'TMTF3 no comps'!$M$3)*calculator!$I$6</f>
        <v>0</v>
      </c>
      <c r="Y10" s="95">
        <f>IF(S10=0,0,VLOOKUP(S10,'TMTF3 no comps'!$B$42:$D$242,3,FALSE)+V10)</f>
        <v>0</v>
      </c>
      <c r="Z10" s="95">
        <f>IF(T10=0,0,VLOOKUP(T10,'TMTF3 no comps'!$B$42:$D$242,3,FALSE)+W10)</f>
        <v>0</v>
      </c>
      <c r="AA10" s="97">
        <f>IF(U10=0,0,VLOOKUP(U10,'TMTF3 no comps'!$B$42:$D$242,3,FALSE)+X10)</f>
        <v>0</v>
      </c>
      <c r="AB10" s="79">
        <f>MROUND(HLOOKUP(D10,$BD$8:BH10,BI10,FALSE),IF(OR(D10="ft",D10="m"),$D$2,$E$2))</f>
        <v>2.4E-2</v>
      </c>
      <c r="AC10" s="98">
        <f>IF(J10="",C10,AD10-M10-N10-O10)</f>
        <v>0</v>
      </c>
      <c r="AD10" s="79">
        <f t="shared" si="6"/>
        <v>0</v>
      </c>
      <c r="AE10" s="97">
        <f>AD10*($D$4-68)*AR10</f>
        <v>0</v>
      </c>
      <c r="AF10" s="97">
        <f>$AC10*($D$4-'TMTF3 no comps'!$M$3)*calculator!$I$6</f>
        <v>0</v>
      </c>
      <c r="AG10" s="97" t="e">
        <f>VLOOKUP(AC10,'TMTF3 no comps'!$B$42:$D$72,3,FALSE)+AF10</f>
        <v>#N/A</v>
      </c>
      <c r="AH10" s="97">
        <f>Y10+Z10+AA10</f>
        <v>0</v>
      </c>
      <c r="AI10" s="97">
        <f t="shared" si="8"/>
        <v>0</v>
      </c>
      <c r="AJ10" s="97">
        <f>IF(J10="",AE10+E10+M10+N10+O10+P10+Q10+R10, AE10+AC10+E10+M10+N10+O10+P10+Q10+R10)</f>
        <v>0</v>
      </c>
      <c r="AK10" s="79">
        <f>IF(D10="in",AJ10/12,AJ10)</f>
        <v>0</v>
      </c>
      <c r="AL10" s="99">
        <f t="shared" ref="AL10:AL32" si="32">(AD10/12)*(VLOOKUP(B10,$K$2:$Q$5,6,FALSE))+((VLOOKUP(B10,$K$2:$Q$5,4,FALSE))+(VLOOKUP(B10,$K$2:$Q$5,5,FALSE)))</f>
        <v>2.3599999999999999E-2</v>
      </c>
      <c r="AM10" s="100">
        <f t="shared" si="9"/>
        <v>0</v>
      </c>
      <c r="AN10" s="79">
        <f>IF(D10="in",AM10/12,AM10)</f>
        <v>0</v>
      </c>
      <c r="AO10" s="100" t="e">
        <f t="shared" ref="AO10:AO32" si="33">BB10-AW10+BA10</f>
        <v>#VALUE!</v>
      </c>
      <c r="AP10" s="78" t="e">
        <f t="shared" ref="AP10:AP32" si="34">AO10/1000</f>
        <v>#VALUE!</v>
      </c>
      <c r="AQ10" s="79">
        <f t="shared" ref="AQ10:AQ32" si="35">(AR10*1.8)*1000</f>
        <v>2.214E-2</v>
      </c>
      <c r="AR10" s="79">
        <f t="shared" ref="AR10:AR32" si="36">VLOOKUP(A10,$H$2:$I$5,2,FALSE)</f>
        <v>1.2300000000000001E-5</v>
      </c>
      <c r="AS10" s="79">
        <f t="shared" si="10"/>
        <v>1.4E-2</v>
      </c>
      <c r="AT10" s="79" t="str">
        <f t="shared" si="11"/>
        <v>in</v>
      </c>
      <c r="AU10" s="79">
        <f t="shared" ref="AU10:AU32" si="37">ROUND(AS10,2-(1+INT(LOG10(ABS(AS10)))))</f>
        <v>1.4E-2</v>
      </c>
      <c r="AV10" s="98" t="e">
        <f t="shared" si="12"/>
        <v>#VALUE!</v>
      </c>
      <c r="AW10" s="73" t="str">
        <f t="shared" si="13"/>
        <v/>
      </c>
      <c r="AX10" s="73" t="e">
        <f t="shared" si="14"/>
        <v>#VALUE!</v>
      </c>
      <c r="AY10" s="73" t="e">
        <f>(($AV10*($C$5-'TMTF3 no comps'!$N$4)*($J$6))/1000)</f>
        <v>#VALUE!</v>
      </c>
      <c r="AZ10" s="95" t="e">
        <f>VLOOKUP(AV10,'TMTF3 no comps'!$G$42:$I$51,3,FALSE)+AY10</f>
        <v>#VALUE!</v>
      </c>
      <c r="BA10" s="95" t="e">
        <f t="shared" ref="BA10:BA32" si="38">AZ10+BV10+BW10+BX10</f>
        <v>#VALUE!</v>
      </c>
      <c r="BB10" s="72" t="e">
        <f t="shared" si="15"/>
        <v>#VALUE!</v>
      </c>
      <c r="BC10" s="101" t="e">
        <f t="shared" si="16"/>
        <v>#VALUE!</v>
      </c>
      <c r="BD10" s="73" t="e">
        <f t="shared" ref="BD10:BD32" si="39">BC10/1000</f>
        <v>#VALUE!</v>
      </c>
      <c r="BE10" s="73" t="e">
        <f t="shared" si="17"/>
        <v>#VALUE!</v>
      </c>
      <c r="BF10" s="73" t="e">
        <f t="shared" si="18"/>
        <v>#VALUE!</v>
      </c>
      <c r="BG10" s="73">
        <f t="shared" si="19"/>
        <v>1.97E-3</v>
      </c>
      <c r="BH10" s="102">
        <f t="shared" ref="BH10:BH32" si="40">AL10</f>
        <v>2.3599999999999999E-2</v>
      </c>
      <c r="BI10" s="72">
        <v>3</v>
      </c>
      <c r="BJ10" s="72">
        <f t="shared" si="20"/>
        <v>0</v>
      </c>
      <c r="BK10" s="72">
        <f t="shared" si="21"/>
        <v>0</v>
      </c>
      <c r="BL10" s="72">
        <f t="shared" si="22"/>
        <v>0</v>
      </c>
      <c r="BM10" s="72">
        <f t="shared" si="23"/>
        <v>0</v>
      </c>
      <c r="BN10" s="72">
        <f t="shared" si="24"/>
        <v>0</v>
      </c>
      <c r="BO10" s="72">
        <f t="shared" si="25"/>
        <v>0</v>
      </c>
      <c r="BP10" s="72">
        <f t="shared" si="26"/>
        <v>0</v>
      </c>
      <c r="BQ10" s="72">
        <f t="shared" si="27"/>
        <v>0</v>
      </c>
      <c r="BR10" s="72">
        <f t="shared" si="28"/>
        <v>0</v>
      </c>
      <c r="BS10" s="72">
        <f>((BP10*($C$5-'TMTF3 no comps'!$N$4)*($J$6))/1000)</f>
        <v>0</v>
      </c>
      <c r="BT10" s="72">
        <f>((BQ10*($C$5-'TMTF3 no comps'!$N$4)*($J$6))/1000)</f>
        <v>0</v>
      </c>
      <c r="BU10" s="72">
        <f>((BR10*($C$5-'TMTF3 no comps'!$N$4)*($J$6))/1000)</f>
        <v>0</v>
      </c>
      <c r="BV10" s="72">
        <f>IF(BP10=0,0,VLOOKUP(BP10,'TMTF3 no comps'!$G$42:$I$51,3,FALSE)+BS10)</f>
        <v>0</v>
      </c>
      <c r="BW10" s="72">
        <f>IF(BQ10=0,0,VLOOKUP(BQ10,'TMTF3 no comps'!$G$42:$I$51,3,FALSE)+BT10)</f>
        <v>0</v>
      </c>
      <c r="BX10" s="72">
        <f>IF(BR10=0,0,VLOOKUP(BR10,'TMTF3 no comps'!$G$42:$I$51,3,FALSE)+BU10)</f>
        <v>0</v>
      </c>
      <c r="BY10" s="71">
        <v>12</v>
      </c>
      <c r="BZ10" s="103">
        <f>1/32</f>
        <v>3.125E-2</v>
      </c>
      <c r="CA10" s="71" t="s">
        <v>1</v>
      </c>
      <c r="CB10" s="103" t="str">
        <f t="shared" ref="CB10:CB32" si="41">IF(OR(B10=3, B10=4,B10=5),VLOOKUP(C10,BY$9:BZ$15,2,TRUE),"")</f>
        <v/>
      </c>
    </row>
    <row r="11" spans="1:80" x14ac:dyDescent="0.25">
      <c r="A11" s="92" t="s">
        <v>16</v>
      </c>
      <c r="B11" s="110">
        <v>1</v>
      </c>
      <c r="C11" s="92"/>
      <c r="D11" s="111" t="s">
        <v>1</v>
      </c>
      <c r="E11" s="93"/>
      <c r="F11" s="107" t="str">
        <f>IFERROR(MROUND((HLOOKUP(D11,$AM$8:AP11,ROW(D11)-7,FALSE)),HLOOKUP(D11,$D$1:$G$2,2,FALSE)),"")</f>
        <v/>
      </c>
      <c r="G11" s="107" t="str">
        <f>IFERROR(IF(F11-C11&gt;=0,MROUND((F11-C11),HLOOKUP(D11,$D$1:$G$2,2,FALSE)),MROUND(F11-C11,-(HLOOKUP(D11,$D$1:$G$2,2,FALSE))))-IF(OR(J11&lt;&gt;"",K11&lt;&gt;"",L11&lt;&gt;""),G10,0),"")</f>
        <v/>
      </c>
      <c r="H11" s="94" t="str">
        <f t="shared" si="29"/>
        <v>± 0.024 in</v>
      </c>
      <c r="I11" s="114" t="str">
        <f t="shared" si="0"/>
        <v>0.014 in</v>
      </c>
      <c r="J11" s="92"/>
      <c r="K11" s="92"/>
      <c r="L11" s="92"/>
      <c r="M11" s="72">
        <f t="shared" ref="M11:M32" si="42">J11*12</f>
        <v>0</v>
      </c>
      <c r="N11" s="72">
        <f t="shared" si="30"/>
        <v>0</v>
      </c>
      <c r="O11" s="72">
        <f t="shared" si="31"/>
        <v>0</v>
      </c>
      <c r="P11" s="95">
        <f t="shared" si="2"/>
        <v>0</v>
      </c>
      <c r="Q11" s="95">
        <f t="shared" si="3"/>
        <v>0</v>
      </c>
      <c r="R11" s="95">
        <f t="shared" si="4"/>
        <v>0</v>
      </c>
      <c r="S11" s="96">
        <f t="shared" ref="S11:S32" si="43">J11*12</f>
        <v>0</v>
      </c>
      <c r="T11" s="96">
        <f t="shared" si="5"/>
        <v>0</v>
      </c>
      <c r="U11" s="96">
        <f t="shared" si="5"/>
        <v>0</v>
      </c>
      <c r="V11" s="95">
        <f>S11*($D$4-'TMTF3 no comps'!$M$3)*calculator!$I$6</f>
        <v>0</v>
      </c>
      <c r="W11" s="95">
        <f>T11*($D$4-'TMTF3 no comps'!$M$3)*calculator!$I$6</f>
        <v>0</v>
      </c>
      <c r="X11" s="95">
        <f>U11*($D$4-'TMTF3 no comps'!$M$3)*calculator!$I$6</f>
        <v>0</v>
      </c>
      <c r="Y11" s="95">
        <f>IF(S11=0,0,VLOOKUP(S11,'TMTF3 no comps'!$B$42:$D$242,3,FALSE)+V11)</f>
        <v>0</v>
      </c>
      <c r="Z11" s="95">
        <f>IF(T11=0,0,VLOOKUP(T11,'TMTF3 no comps'!$B$42:$D$242,3,FALSE)+W11)</f>
        <v>0</v>
      </c>
      <c r="AA11" s="97">
        <f>IF(U11=0,0,VLOOKUP(U11,'TMTF3 no comps'!$B$42:$D$242,3,FALSE)+X11)</f>
        <v>0</v>
      </c>
      <c r="AB11" s="79">
        <f>MROUND(HLOOKUP(D11,$BD$8:BH11,BI11,FALSE),IF(OR(D11="ft",D11="m"),$D$2,$E$2))</f>
        <v>2.4E-2</v>
      </c>
      <c r="AC11" s="98">
        <f t="shared" ref="AC11:AC32" si="44">AD11-M11-N11-O11</f>
        <v>0</v>
      </c>
      <c r="AD11" s="79">
        <f t="shared" si="6"/>
        <v>0</v>
      </c>
      <c r="AE11" s="97">
        <f t="shared" ref="AE11:AE32" si="45">AD11*($D$4-68)*AR11</f>
        <v>0</v>
      </c>
      <c r="AF11" s="97">
        <f>$AC11*($D$4-'TMTF3 no comps'!$M$3)*calculator!$I$6</f>
        <v>0</v>
      </c>
      <c r="AG11" s="97" t="e">
        <f>VLOOKUP(AC11,'TMTF3 no comps'!$B$42:$D$72,3,FALSE)+AF11</f>
        <v>#N/A</v>
      </c>
      <c r="AH11" s="97" t="e">
        <f t="shared" ref="AH11:AH32" si="46">AG11+Y11+Z11+AA11</f>
        <v>#N/A</v>
      </c>
      <c r="AI11" s="97">
        <f t="shared" si="8"/>
        <v>0</v>
      </c>
      <c r="AJ11" s="97">
        <f t="shared" ref="AJ11:AJ32" si="47">AE11+AC11+E11+M11+N11+O11+P11+Q11+R11</f>
        <v>0</v>
      </c>
      <c r="AK11" s="79">
        <f t="shared" ref="AK11:AK32" si="48">AJ11/12</f>
        <v>0</v>
      </c>
      <c r="AL11" s="99">
        <f t="shared" si="32"/>
        <v>2.3599999999999999E-2</v>
      </c>
      <c r="AM11" s="100" t="e">
        <f t="shared" si="9"/>
        <v>#N/A</v>
      </c>
      <c r="AN11" s="79" t="e">
        <f t="shared" ref="AN11:AN32" si="49">AM11/12</f>
        <v>#N/A</v>
      </c>
      <c r="AO11" s="100" t="e">
        <f t="shared" si="33"/>
        <v>#VALUE!</v>
      </c>
      <c r="AP11" s="78" t="e">
        <f t="shared" si="34"/>
        <v>#VALUE!</v>
      </c>
      <c r="AQ11" s="79">
        <f t="shared" si="35"/>
        <v>2.214E-2</v>
      </c>
      <c r="AR11" s="79">
        <f t="shared" si="36"/>
        <v>1.2300000000000001E-5</v>
      </c>
      <c r="AS11" s="79">
        <f t="shared" si="10"/>
        <v>1.4E-2</v>
      </c>
      <c r="AT11" s="79" t="str">
        <f t="shared" si="11"/>
        <v>in</v>
      </c>
      <c r="AU11" s="79">
        <f t="shared" si="37"/>
        <v>1.4E-2</v>
      </c>
      <c r="AV11" s="98" t="e">
        <f t="shared" si="12"/>
        <v>#VALUE!</v>
      </c>
      <c r="AW11" s="73" t="str">
        <f t="shared" si="13"/>
        <v/>
      </c>
      <c r="AX11" s="73" t="e">
        <f t="shared" si="14"/>
        <v>#VALUE!</v>
      </c>
      <c r="AY11" s="73" t="e">
        <f>(($AV11*($C$5-'TMTF3 no comps'!$N$4)*($J$6))/1000)</f>
        <v>#VALUE!</v>
      </c>
      <c r="AZ11" s="95" t="e">
        <f>VLOOKUP(AV11,'TMTF3 no comps'!$G$42:$I$51,3,FALSE)+AY11</f>
        <v>#VALUE!</v>
      </c>
      <c r="BA11" s="95" t="e">
        <f t="shared" si="38"/>
        <v>#VALUE!</v>
      </c>
      <c r="BB11" s="72" t="e">
        <f t="shared" si="15"/>
        <v>#VALUE!</v>
      </c>
      <c r="BC11" s="101" t="e">
        <f t="shared" si="16"/>
        <v>#VALUE!</v>
      </c>
      <c r="BD11" s="73" t="e">
        <f t="shared" si="39"/>
        <v>#VALUE!</v>
      </c>
      <c r="BE11" s="73" t="e">
        <f t="shared" si="17"/>
        <v>#VALUE!</v>
      </c>
      <c r="BF11" s="73" t="e">
        <f t="shared" si="18"/>
        <v>#VALUE!</v>
      </c>
      <c r="BG11" s="73">
        <f t="shared" si="19"/>
        <v>1.97E-3</v>
      </c>
      <c r="BH11" s="102">
        <f t="shared" si="40"/>
        <v>2.3599999999999999E-2</v>
      </c>
      <c r="BI11" s="72">
        <v>4</v>
      </c>
      <c r="BJ11" s="72">
        <f t="shared" si="20"/>
        <v>0</v>
      </c>
      <c r="BK11" s="72">
        <f t="shared" si="21"/>
        <v>0</v>
      </c>
      <c r="BL11" s="72">
        <f t="shared" si="22"/>
        <v>0</v>
      </c>
      <c r="BM11" s="72">
        <f t="shared" si="23"/>
        <v>0</v>
      </c>
      <c r="BN11" s="72">
        <f t="shared" si="24"/>
        <v>0</v>
      </c>
      <c r="BO11" s="72">
        <f t="shared" si="25"/>
        <v>0</v>
      </c>
      <c r="BP11" s="72">
        <f t="shared" si="26"/>
        <v>0</v>
      </c>
      <c r="BQ11" s="72">
        <f t="shared" si="27"/>
        <v>0</v>
      </c>
      <c r="BR11" s="72">
        <f t="shared" si="28"/>
        <v>0</v>
      </c>
      <c r="BS11" s="72">
        <f>((BP11*($C$5-'TMTF3 no comps'!$N$4)*($J$6))/1000)</f>
        <v>0</v>
      </c>
      <c r="BT11" s="72">
        <f>((BQ11*($C$5-'TMTF3 no comps'!$N$4)*($J$6))/1000)</f>
        <v>0</v>
      </c>
      <c r="BU11" s="72">
        <f>((BR11*($C$5-'TMTF3 no comps'!$N$4)*($J$6))/1000)</f>
        <v>0</v>
      </c>
      <c r="BV11" s="72">
        <f>IF(BP11=0,0,VLOOKUP(BP11,'TMTF3 no comps'!$G$42:$I$51,3,FALSE)+BS11)</f>
        <v>0</v>
      </c>
      <c r="BW11" s="72">
        <f>IF(BQ11=0,0,VLOOKUP(BQ11,'TMTF3 no comps'!$G$42:$I$51,3,FALSE)+BT11)</f>
        <v>0</v>
      </c>
      <c r="BX11" s="72">
        <f>IF(BR11=0,0,VLOOKUP(BR11,'TMTF3 no comps'!$G$42:$I$51,3,FALSE)+BU11)</f>
        <v>0</v>
      </c>
      <c r="BY11" s="71">
        <v>24</v>
      </c>
      <c r="BZ11" s="103">
        <f>1/16</f>
        <v>6.25E-2</v>
      </c>
      <c r="CA11" s="71" t="s">
        <v>1</v>
      </c>
      <c r="CB11" s="103" t="str">
        <f t="shared" si="41"/>
        <v/>
      </c>
    </row>
    <row r="12" spans="1:80" x14ac:dyDescent="0.25">
      <c r="A12" s="92" t="s">
        <v>16</v>
      </c>
      <c r="B12" s="110">
        <v>1</v>
      </c>
      <c r="C12" s="92"/>
      <c r="D12" s="111" t="s">
        <v>1</v>
      </c>
      <c r="E12" s="93"/>
      <c r="F12" s="107" t="str">
        <f>IFERROR(MROUND((HLOOKUP(D12,$AM$8:AP12,ROW(D12)-7,FALSE)),HLOOKUP(D12,$D$1:$G$2,2,FALSE)),"")</f>
        <v/>
      </c>
      <c r="G12" s="107" t="str">
        <f t="shared" ref="G12:G32" si="50">IFERROR(IF(F12-C12&gt;=0,MROUND((F12-C12),HLOOKUP(D12,$D$1:$G$2,2,FALSE)),MROUND(F12-C12,-(HLOOKUP(D12,$D$1:$G$2,2,FALSE))))-IF(OR(J12&lt;&gt;"",K12&lt;&gt;"",L12&lt;&gt;""),G11,0),"")</f>
        <v/>
      </c>
      <c r="H12" s="94" t="str">
        <f t="shared" si="29"/>
        <v>± 0.024 in</v>
      </c>
      <c r="I12" s="114" t="str">
        <f t="shared" si="0"/>
        <v>0.014 in</v>
      </c>
      <c r="J12" s="92"/>
      <c r="K12" s="92"/>
      <c r="L12" s="92"/>
      <c r="M12" s="72">
        <f t="shared" si="42"/>
        <v>0</v>
      </c>
      <c r="N12" s="72">
        <f t="shared" si="30"/>
        <v>0</v>
      </c>
      <c r="O12" s="72">
        <f t="shared" si="31"/>
        <v>0</v>
      </c>
      <c r="P12" s="95">
        <f t="shared" si="2"/>
        <v>0</v>
      </c>
      <c r="Q12" s="95">
        <f>(N12-360)*($D$4-68)*$AR12</f>
        <v>0.30110400000000004</v>
      </c>
      <c r="R12" s="95">
        <f t="shared" si="4"/>
        <v>0</v>
      </c>
      <c r="S12" s="96">
        <f t="shared" si="43"/>
        <v>0</v>
      </c>
      <c r="T12" s="96">
        <f t="shared" si="5"/>
        <v>0</v>
      </c>
      <c r="U12" s="96">
        <f t="shared" si="5"/>
        <v>0</v>
      </c>
      <c r="V12" s="95">
        <f>S12*($D$4-'TMTF3 no comps'!$M$3)*calculator!$I$6</f>
        <v>0</v>
      </c>
      <c r="W12" s="95">
        <f>T12*($D$4-'TMTF3 no comps'!$M$3)*calculator!$I$6</f>
        <v>0</v>
      </c>
      <c r="X12" s="95">
        <f>U12*($D$4-'TMTF3 no comps'!$M$3)*calculator!$I$6</f>
        <v>0</v>
      </c>
      <c r="Y12" s="95">
        <f>IF(S12=0,0,VLOOKUP(S12,'TMTF3 no comps'!$B$42:$D$242,3,FALSE)+V12)</f>
        <v>0</v>
      </c>
      <c r="Z12" s="95">
        <f>IF(T12=0,0,VLOOKUP(T12,'TMTF3 no comps'!$B$42:$D$242,3,FALSE)+W12)</f>
        <v>0</v>
      </c>
      <c r="AA12" s="97">
        <f>IF(U12=0,0,VLOOKUP(U12,'TMTF3 no comps'!$B$42:$D$242,3,FALSE)+X12)</f>
        <v>0</v>
      </c>
      <c r="AB12" s="79">
        <f>MROUND(HLOOKUP(D12,$BD$8:BH12,BI12,FALSE),IF(OR(D12="ft",D12="m"),$D$2,$E$2))</f>
        <v>2.4E-2</v>
      </c>
      <c r="AC12" s="98">
        <f t="shared" si="44"/>
        <v>0</v>
      </c>
      <c r="AD12" s="79">
        <f t="shared" si="6"/>
        <v>0</v>
      </c>
      <c r="AE12" s="97">
        <f t="shared" si="45"/>
        <v>0</v>
      </c>
      <c r="AF12" s="97">
        <f>$AC12*($D$4-'TMTF3 no comps'!$M$3)*calculator!$I$6</f>
        <v>0</v>
      </c>
      <c r="AG12" s="97" t="e">
        <f>VLOOKUP(AC12,'TMTF3 no comps'!$B$42:$D$72,3,FALSE)+AF12</f>
        <v>#N/A</v>
      </c>
      <c r="AH12" s="97" t="e">
        <f t="shared" si="46"/>
        <v>#N/A</v>
      </c>
      <c r="AI12" s="97">
        <f t="shared" si="8"/>
        <v>0.30110400000000004</v>
      </c>
      <c r="AJ12" s="97">
        <f t="shared" si="47"/>
        <v>0.30110400000000004</v>
      </c>
      <c r="AK12" s="79">
        <f t="shared" si="48"/>
        <v>2.5092000000000003E-2</v>
      </c>
      <c r="AL12" s="99">
        <f t="shared" si="32"/>
        <v>2.3599999999999999E-2</v>
      </c>
      <c r="AM12" s="100" t="e">
        <f t="shared" si="9"/>
        <v>#N/A</v>
      </c>
      <c r="AN12" s="79" t="e">
        <f t="shared" si="49"/>
        <v>#N/A</v>
      </c>
      <c r="AO12" s="100" t="e">
        <f t="shared" si="33"/>
        <v>#VALUE!</v>
      </c>
      <c r="AP12" s="78" t="e">
        <f t="shared" si="34"/>
        <v>#VALUE!</v>
      </c>
      <c r="AQ12" s="79">
        <f t="shared" si="35"/>
        <v>2.214E-2</v>
      </c>
      <c r="AR12" s="79">
        <f t="shared" si="36"/>
        <v>1.2300000000000001E-5</v>
      </c>
      <c r="AS12" s="79">
        <f t="shared" si="10"/>
        <v>1.4E-2</v>
      </c>
      <c r="AT12" s="79" t="str">
        <f t="shared" si="11"/>
        <v>in</v>
      </c>
      <c r="AU12" s="79">
        <f t="shared" si="37"/>
        <v>1.4E-2</v>
      </c>
      <c r="AV12" s="98" t="e">
        <f t="shared" si="12"/>
        <v>#VALUE!</v>
      </c>
      <c r="AW12" s="73" t="str">
        <f t="shared" si="13"/>
        <v/>
      </c>
      <c r="AX12" s="73" t="e">
        <f t="shared" si="14"/>
        <v>#VALUE!</v>
      </c>
      <c r="AY12" s="73" t="e">
        <f>(($AV12*($C$5-'TMTF3 no comps'!$N$4)*($J$6))/1000)</f>
        <v>#VALUE!</v>
      </c>
      <c r="AZ12" s="95" t="e">
        <f>VLOOKUP(AV12,'TMTF3 no comps'!$G$42:$I$51,3,FALSE)+AY12</f>
        <v>#VALUE!</v>
      </c>
      <c r="BA12" s="95" t="e">
        <f t="shared" si="38"/>
        <v>#VALUE!</v>
      </c>
      <c r="BB12" s="72" t="e">
        <f t="shared" si="15"/>
        <v>#VALUE!</v>
      </c>
      <c r="BC12" s="101" t="e">
        <f t="shared" si="16"/>
        <v>#VALUE!</v>
      </c>
      <c r="BD12" s="73" t="e">
        <f t="shared" si="39"/>
        <v>#VALUE!</v>
      </c>
      <c r="BE12" s="73" t="e">
        <f t="shared" si="17"/>
        <v>#VALUE!</v>
      </c>
      <c r="BF12" s="73" t="e">
        <f t="shared" si="18"/>
        <v>#VALUE!</v>
      </c>
      <c r="BG12" s="73">
        <f t="shared" si="19"/>
        <v>1.97E-3</v>
      </c>
      <c r="BH12" s="102">
        <f t="shared" si="40"/>
        <v>2.3599999999999999E-2</v>
      </c>
      <c r="BI12" s="72">
        <v>5</v>
      </c>
      <c r="BJ12" s="72">
        <f t="shared" si="20"/>
        <v>0</v>
      </c>
      <c r="BK12" s="72">
        <f t="shared" si="21"/>
        <v>0</v>
      </c>
      <c r="BL12" s="72">
        <f t="shared" si="22"/>
        <v>0</v>
      </c>
      <c r="BM12" s="72">
        <f t="shared" si="23"/>
        <v>0</v>
      </c>
      <c r="BN12" s="72">
        <f t="shared" si="24"/>
        <v>0</v>
      </c>
      <c r="BO12" s="72">
        <f t="shared" si="25"/>
        <v>0</v>
      </c>
      <c r="BP12" s="72">
        <f t="shared" si="26"/>
        <v>0</v>
      </c>
      <c r="BQ12" s="72">
        <f t="shared" si="27"/>
        <v>0</v>
      </c>
      <c r="BR12" s="72">
        <f t="shared" si="28"/>
        <v>0</v>
      </c>
      <c r="BS12" s="72">
        <f>((BP12*($C$5-'TMTF3 no comps'!$N$4)*($J$6))/1000)</f>
        <v>0</v>
      </c>
      <c r="BT12" s="72">
        <f>((BQ12*($C$5-'TMTF3 no comps'!$N$4)*($J$6))/1000)</f>
        <v>0</v>
      </c>
      <c r="BU12" s="72">
        <f>((BR12*($C$5-'TMTF3 no comps'!$N$4)*($J$6))/1000)</f>
        <v>0</v>
      </c>
      <c r="BV12" s="72">
        <f>IF(BP12=0,0,VLOOKUP(BP12,'TMTF3 no comps'!$G$42:$I$51,3,FALSE)+BS12)</f>
        <v>0</v>
      </c>
      <c r="BW12" s="72">
        <f>IF(BQ12=0,0,VLOOKUP(BQ12,'TMTF3 no comps'!$G$42:$I$51,3,FALSE)+BT12)</f>
        <v>0</v>
      </c>
      <c r="BX12" s="72">
        <f>IF(BR12=0,0,VLOOKUP(BR12,'TMTF3 no comps'!$G$42:$I$51,3,FALSE)+BU12)</f>
        <v>0</v>
      </c>
      <c r="BY12" s="71">
        <v>36</v>
      </c>
      <c r="BZ12" s="103">
        <f>3/32</f>
        <v>9.375E-2</v>
      </c>
      <c r="CA12" s="71" t="s">
        <v>1</v>
      </c>
      <c r="CB12" s="103" t="str">
        <f t="shared" si="41"/>
        <v/>
      </c>
    </row>
    <row r="13" spans="1:80" x14ac:dyDescent="0.25">
      <c r="A13" s="92" t="s">
        <v>16</v>
      </c>
      <c r="B13" s="110">
        <v>1</v>
      </c>
      <c r="C13" s="92"/>
      <c r="D13" s="111" t="s">
        <v>1</v>
      </c>
      <c r="E13" s="93"/>
      <c r="F13" s="107" t="str">
        <f>IFERROR(MROUND((HLOOKUP(D13,$AM$8:AP13,ROW(D13)-7,FALSE)),HLOOKUP(D13,$D$1:$G$2,2,FALSE)),"")</f>
        <v/>
      </c>
      <c r="G13" s="107" t="str">
        <f t="shared" si="50"/>
        <v/>
      </c>
      <c r="H13" s="94" t="str">
        <f t="shared" si="29"/>
        <v>± 0.024 in</v>
      </c>
      <c r="I13" s="114" t="str">
        <f t="shared" si="0"/>
        <v>0.014 in</v>
      </c>
      <c r="J13" s="92"/>
      <c r="K13" s="92"/>
      <c r="L13" s="92"/>
      <c r="M13" s="78">
        <f t="shared" si="42"/>
        <v>0</v>
      </c>
      <c r="N13" s="78">
        <f t="shared" si="30"/>
        <v>0</v>
      </c>
      <c r="O13" s="78">
        <f t="shared" si="31"/>
        <v>0</v>
      </c>
      <c r="P13" s="97">
        <f t="shared" si="2"/>
        <v>0</v>
      </c>
      <c r="Q13" s="97">
        <f t="shared" si="3"/>
        <v>0</v>
      </c>
      <c r="R13" s="97">
        <f t="shared" si="4"/>
        <v>0</v>
      </c>
      <c r="S13" s="104">
        <f t="shared" si="43"/>
        <v>0</v>
      </c>
      <c r="T13" s="104">
        <f t="shared" si="5"/>
        <v>0</v>
      </c>
      <c r="U13" s="104">
        <f t="shared" si="5"/>
        <v>0</v>
      </c>
      <c r="V13" s="97">
        <f>S13*($D$4-'TMTF3 no comps'!$M$3)*calculator!$I$6</f>
        <v>0</v>
      </c>
      <c r="W13" s="97">
        <f>T13*($D$4-'TMTF3 no comps'!$M$3)*calculator!$I$6</f>
        <v>0</v>
      </c>
      <c r="X13" s="97">
        <f>U13*($D$4-'TMTF3 no comps'!$M$3)*calculator!$I$6</f>
        <v>0</v>
      </c>
      <c r="Y13" s="97">
        <f>IF(S13=0,0,VLOOKUP(S13,'TMTF3 no comps'!$B$42:$D$242,3,FALSE)+V13)</f>
        <v>0</v>
      </c>
      <c r="Z13" s="97">
        <f>IF(T13=0,0,VLOOKUP(T13,'TMTF3 no comps'!$B$42:$D$242,3,FALSE)+W13)</f>
        <v>0</v>
      </c>
      <c r="AA13" s="97">
        <f>IF(U13=0,0,VLOOKUP(U13,'TMTF3 no comps'!$B$42:$D$242,3,FALSE)+X13)</f>
        <v>0</v>
      </c>
      <c r="AB13" s="79">
        <f>MROUND(HLOOKUP(D13,$BD$8:BH13,BI13,FALSE),IF(OR(D13="ft",D13="m"),$D$2,$E$2))</f>
        <v>2.4E-2</v>
      </c>
      <c r="AC13" s="98">
        <f t="shared" si="44"/>
        <v>0</v>
      </c>
      <c r="AD13" s="79">
        <f t="shared" si="6"/>
        <v>0</v>
      </c>
      <c r="AE13" s="97">
        <f t="shared" si="45"/>
        <v>0</v>
      </c>
      <c r="AF13" s="97">
        <f>$AC13*($D$4-'TMTF3 no comps'!$M$3)*calculator!$I$6</f>
        <v>0</v>
      </c>
      <c r="AG13" s="97" t="e">
        <f>VLOOKUP(AC13,'TMTF3 no comps'!$B$42:$D$72,3,FALSE)+AF13</f>
        <v>#N/A</v>
      </c>
      <c r="AH13" s="97" t="e">
        <f t="shared" si="46"/>
        <v>#N/A</v>
      </c>
      <c r="AI13" s="97">
        <f t="shared" si="8"/>
        <v>0</v>
      </c>
      <c r="AJ13" s="97">
        <f t="shared" si="47"/>
        <v>0</v>
      </c>
      <c r="AK13" s="79">
        <f t="shared" si="48"/>
        <v>0</v>
      </c>
      <c r="AL13" s="99">
        <f t="shared" si="32"/>
        <v>2.3599999999999999E-2</v>
      </c>
      <c r="AM13" s="100" t="e">
        <f t="shared" si="9"/>
        <v>#N/A</v>
      </c>
      <c r="AN13" s="79" t="e">
        <f t="shared" si="49"/>
        <v>#N/A</v>
      </c>
      <c r="AO13" s="100" t="e">
        <f t="shared" si="33"/>
        <v>#VALUE!</v>
      </c>
      <c r="AP13" s="78" t="e">
        <f t="shared" si="34"/>
        <v>#VALUE!</v>
      </c>
      <c r="AQ13" s="79">
        <f t="shared" si="35"/>
        <v>2.214E-2</v>
      </c>
      <c r="AR13" s="79">
        <f t="shared" si="36"/>
        <v>1.2300000000000001E-5</v>
      </c>
      <c r="AS13" s="79">
        <f t="shared" si="10"/>
        <v>1.4E-2</v>
      </c>
      <c r="AT13" s="79" t="str">
        <f t="shared" si="11"/>
        <v>in</v>
      </c>
      <c r="AU13" s="79">
        <f t="shared" si="37"/>
        <v>1.4E-2</v>
      </c>
      <c r="AV13" s="98" t="e">
        <f t="shared" si="12"/>
        <v>#VALUE!</v>
      </c>
      <c r="AW13" s="73" t="str">
        <f t="shared" si="13"/>
        <v/>
      </c>
      <c r="AX13" s="73" t="e">
        <f t="shared" si="14"/>
        <v>#VALUE!</v>
      </c>
      <c r="AY13" s="73" t="e">
        <f>(($AV13*($C$5-'TMTF3 no comps'!$N$4)*($J$6))/1000)</f>
        <v>#VALUE!</v>
      </c>
      <c r="AZ13" s="95" t="e">
        <f>VLOOKUP(AV13,'TMTF3 no comps'!$G$42:$I$51,3,FALSE)+AY13</f>
        <v>#VALUE!</v>
      </c>
      <c r="BA13" s="95" t="e">
        <f t="shared" si="38"/>
        <v>#VALUE!</v>
      </c>
      <c r="BB13" s="72" t="e">
        <f t="shared" si="15"/>
        <v>#VALUE!</v>
      </c>
      <c r="BC13" s="101" t="e">
        <f t="shared" si="16"/>
        <v>#VALUE!</v>
      </c>
      <c r="BD13" s="73" t="e">
        <f t="shared" si="39"/>
        <v>#VALUE!</v>
      </c>
      <c r="BE13" s="73" t="e">
        <f t="shared" si="17"/>
        <v>#VALUE!</v>
      </c>
      <c r="BF13" s="73" t="e">
        <f t="shared" si="18"/>
        <v>#VALUE!</v>
      </c>
      <c r="BG13" s="73">
        <f t="shared" si="19"/>
        <v>1.97E-3</v>
      </c>
      <c r="BH13" s="102">
        <f t="shared" si="40"/>
        <v>2.3599999999999999E-2</v>
      </c>
      <c r="BI13" s="72">
        <v>6</v>
      </c>
      <c r="BJ13" s="72">
        <f t="shared" si="20"/>
        <v>0</v>
      </c>
      <c r="BK13" s="72">
        <f t="shared" si="21"/>
        <v>0</v>
      </c>
      <c r="BL13" s="72">
        <f t="shared" si="22"/>
        <v>0</v>
      </c>
      <c r="BM13" s="72">
        <f t="shared" si="23"/>
        <v>0</v>
      </c>
      <c r="BN13" s="72">
        <f t="shared" si="24"/>
        <v>0</v>
      </c>
      <c r="BO13" s="72">
        <f t="shared" si="25"/>
        <v>0</v>
      </c>
      <c r="BP13" s="72">
        <f t="shared" si="26"/>
        <v>0</v>
      </c>
      <c r="BQ13" s="72">
        <f t="shared" si="27"/>
        <v>0</v>
      </c>
      <c r="BR13" s="72">
        <f t="shared" si="28"/>
        <v>0</v>
      </c>
      <c r="BS13" s="72">
        <f>((BP13*($C$5-'TMTF3 no comps'!$N$4)*($J$6))/1000)</f>
        <v>0</v>
      </c>
      <c r="BT13" s="72">
        <f>((BQ13*($C$5-'TMTF3 no comps'!$N$4)*($J$6))/1000)</f>
        <v>0</v>
      </c>
      <c r="BU13" s="72">
        <f>((BR13*($C$5-'TMTF3 no comps'!$N$4)*($J$6))/1000)</f>
        <v>0</v>
      </c>
      <c r="BV13" s="72">
        <f>IF(BP13=0,0,VLOOKUP(BP13,'TMTF3 no comps'!$G$42:$I$51,3,FALSE)+BS13)</f>
        <v>0</v>
      </c>
      <c r="BW13" s="72">
        <f>IF(BQ13=0,0,VLOOKUP(BQ13,'TMTF3 no comps'!$G$42:$I$51,3,FALSE)+BT13)</f>
        <v>0</v>
      </c>
      <c r="BX13" s="72">
        <f>IF(BR13=0,0,VLOOKUP(BR13,'TMTF3 no comps'!$G$42:$I$51,3,FALSE)+BU13)</f>
        <v>0</v>
      </c>
      <c r="BY13" s="71">
        <v>48</v>
      </c>
      <c r="BZ13" s="103">
        <f>1/8</f>
        <v>0.125</v>
      </c>
      <c r="CA13" s="71" t="s">
        <v>1</v>
      </c>
      <c r="CB13" s="103" t="str">
        <f t="shared" si="41"/>
        <v/>
      </c>
    </row>
    <row r="14" spans="1:80" x14ac:dyDescent="0.25">
      <c r="A14" s="92" t="s">
        <v>16</v>
      </c>
      <c r="B14" s="110">
        <v>1</v>
      </c>
      <c r="C14" s="92"/>
      <c r="D14" s="111" t="s">
        <v>1</v>
      </c>
      <c r="E14" s="93"/>
      <c r="F14" s="107" t="str">
        <f>IFERROR(MROUND((HLOOKUP(D14,$AM$8:AP14,ROW(D14)-7,FALSE)),HLOOKUP(D14,$D$1:$G$2,2,FALSE)),"")</f>
        <v/>
      </c>
      <c r="G14" s="107" t="str">
        <f t="shared" si="50"/>
        <v/>
      </c>
      <c r="H14" s="94" t="str">
        <f t="shared" si="29"/>
        <v>± 0.024 in</v>
      </c>
      <c r="I14" s="114" t="str">
        <f t="shared" si="0"/>
        <v>0.014 in</v>
      </c>
      <c r="J14" s="92"/>
      <c r="K14" s="92"/>
      <c r="L14" s="92"/>
      <c r="M14" s="72">
        <f t="shared" si="42"/>
        <v>0</v>
      </c>
      <c r="N14" s="72">
        <f t="shared" si="30"/>
        <v>0</v>
      </c>
      <c r="O14" s="72">
        <f t="shared" si="31"/>
        <v>0</v>
      </c>
      <c r="P14" s="95">
        <f t="shared" si="2"/>
        <v>0</v>
      </c>
      <c r="Q14" s="95">
        <f t="shared" si="3"/>
        <v>0</v>
      </c>
      <c r="R14" s="95">
        <f t="shared" si="4"/>
        <v>0</v>
      </c>
      <c r="S14" s="96">
        <f t="shared" si="43"/>
        <v>0</v>
      </c>
      <c r="T14" s="96">
        <f t="shared" si="5"/>
        <v>0</v>
      </c>
      <c r="U14" s="96">
        <f t="shared" si="5"/>
        <v>0</v>
      </c>
      <c r="V14" s="95">
        <f>S14*($D$4-'TMTF3 no comps'!$M$3)*calculator!$I$6</f>
        <v>0</v>
      </c>
      <c r="W14" s="95">
        <f>T14*($D$4-'TMTF3 no comps'!$M$3)*calculator!$I$6</f>
        <v>0</v>
      </c>
      <c r="X14" s="95">
        <f>U14*($D$4-'TMTF3 no comps'!$M$3)*calculator!$I$6</f>
        <v>0</v>
      </c>
      <c r="Y14" s="95">
        <f>IF(S14=0,0,VLOOKUP(S14,'TMTF3 no comps'!$B$42:$D$242,3,FALSE)+V14)</f>
        <v>0</v>
      </c>
      <c r="Z14" s="95">
        <f>IF(T14=0,0,VLOOKUP(T14,'TMTF3 no comps'!$B$42:$D$242,3,FALSE)+W14)</f>
        <v>0</v>
      </c>
      <c r="AA14" s="97">
        <f>IF(U14=0,0,VLOOKUP(U14,'TMTF3 no comps'!$B$42:$D$242,3,FALSE)+X14)</f>
        <v>0</v>
      </c>
      <c r="AB14" s="79">
        <f>MROUND(HLOOKUP(D14,$BD$8:BH14,BI14,FALSE),IF(OR(D14="ft",D14="m"),$D$2,$E$2))</f>
        <v>2.4E-2</v>
      </c>
      <c r="AC14" s="98">
        <f t="shared" si="44"/>
        <v>0</v>
      </c>
      <c r="AD14" s="79">
        <f t="shared" si="6"/>
        <v>0</v>
      </c>
      <c r="AE14" s="97">
        <f t="shared" si="45"/>
        <v>0</v>
      </c>
      <c r="AF14" s="97">
        <f>$AC14*($D$4-'TMTF3 no comps'!$M$3)*calculator!$I$6</f>
        <v>0</v>
      </c>
      <c r="AG14" s="97" t="e">
        <f>VLOOKUP(AC14,'TMTF3 no comps'!$B$42:$D$72,3,FALSE)+AF14</f>
        <v>#N/A</v>
      </c>
      <c r="AH14" s="97" t="e">
        <f t="shared" si="46"/>
        <v>#N/A</v>
      </c>
      <c r="AI14" s="97">
        <f t="shared" si="8"/>
        <v>0</v>
      </c>
      <c r="AJ14" s="97">
        <f t="shared" si="47"/>
        <v>0</v>
      </c>
      <c r="AK14" s="79">
        <f t="shared" si="48"/>
        <v>0</v>
      </c>
      <c r="AL14" s="99">
        <f t="shared" si="32"/>
        <v>2.3599999999999999E-2</v>
      </c>
      <c r="AM14" s="100" t="e">
        <f t="shared" si="9"/>
        <v>#N/A</v>
      </c>
      <c r="AN14" s="79" t="e">
        <f t="shared" si="49"/>
        <v>#N/A</v>
      </c>
      <c r="AO14" s="100" t="e">
        <f t="shared" si="33"/>
        <v>#VALUE!</v>
      </c>
      <c r="AP14" s="78" t="e">
        <f t="shared" si="34"/>
        <v>#VALUE!</v>
      </c>
      <c r="AQ14" s="79">
        <f t="shared" si="35"/>
        <v>2.214E-2</v>
      </c>
      <c r="AR14" s="79">
        <f t="shared" si="36"/>
        <v>1.2300000000000001E-5</v>
      </c>
      <c r="AS14" s="79">
        <f t="shared" si="10"/>
        <v>1.4E-2</v>
      </c>
      <c r="AT14" s="79" t="str">
        <f t="shared" si="11"/>
        <v>in</v>
      </c>
      <c r="AU14" s="79">
        <f t="shared" si="37"/>
        <v>1.4E-2</v>
      </c>
      <c r="AV14" s="98" t="e">
        <f t="shared" si="12"/>
        <v>#VALUE!</v>
      </c>
      <c r="AW14" s="73" t="str">
        <f t="shared" si="13"/>
        <v/>
      </c>
      <c r="AX14" s="73" t="e">
        <f t="shared" si="14"/>
        <v>#VALUE!</v>
      </c>
      <c r="AY14" s="73" t="e">
        <f>(($AV14*($C$5-'TMTF3 no comps'!$N$4)*($J$6))/1000)</f>
        <v>#VALUE!</v>
      </c>
      <c r="AZ14" s="95" t="e">
        <f>VLOOKUP(AV14,'TMTF3 no comps'!$G$42:$I$51,3,FALSE)+AY14</f>
        <v>#VALUE!</v>
      </c>
      <c r="BA14" s="95" t="e">
        <f t="shared" si="38"/>
        <v>#VALUE!</v>
      </c>
      <c r="BB14" s="72" t="e">
        <f t="shared" si="15"/>
        <v>#VALUE!</v>
      </c>
      <c r="BC14" s="101" t="e">
        <f t="shared" si="16"/>
        <v>#VALUE!</v>
      </c>
      <c r="BD14" s="73" t="e">
        <f t="shared" si="39"/>
        <v>#VALUE!</v>
      </c>
      <c r="BE14" s="73" t="e">
        <f t="shared" si="17"/>
        <v>#VALUE!</v>
      </c>
      <c r="BF14" s="73" t="e">
        <f t="shared" si="18"/>
        <v>#VALUE!</v>
      </c>
      <c r="BG14" s="73">
        <f t="shared" si="19"/>
        <v>1.97E-3</v>
      </c>
      <c r="BH14" s="102">
        <f t="shared" si="40"/>
        <v>2.3599999999999999E-2</v>
      </c>
      <c r="BI14" s="72">
        <v>7</v>
      </c>
      <c r="BJ14" s="72">
        <f t="shared" si="20"/>
        <v>0</v>
      </c>
      <c r="BK14" s="72">
        <f t="shared" si="21"/>
        <v>0</v>
      </c>
      <c r="BL14" s="72">
        <f t="shared" si="22"/>
        <v>0</v>
      </c>
      <c r="BM14" s="72">
        <f t="shared" si="23"/>
        <v>0</v>
      </c>
      <c r="BN14" s="72">
        <f t="shared" si="24"/>
        <v>0</v>
      </c>
      <c r="BO14" s="72">
        <f t="shared" si="25"/>
        <v>0</v>
      </c>
      <c r="BP14" s="72">
        <f t="shared" si="26"/>
        <v>0</v>
      </c>
      <c r="BQ14" s="72">
        <f t="shared" si="27"/>
        <v>0</v>
      </c>
      <c r="BR14" s="72">
        <f t="shared" si="28"/>
        <v>0</v>
      </c>
      <c r="BS14" s="72">
        <f>((BP14*($C$5-'TMTF3 no comps'!$N$4)*($J$6))/1000)</f>
        <v>0</v>
      </c>
      <c r="BT14" s="72">
        <f>((BQ14*($C$5-'TMTF3 no comps'!$N$4)*($J$6))/1000)</f>
        <v>0</v>
      </c>
      <c r="BU14" s="72">
        <f>((BR14*($C$5-'TMTF3 no comps'!$N$4)*($J$6))/1000)</f>
        <v>0</v>
      </c>
      <c r="BV14" s="72">
        <f>IF(BP14=0,0,VLOOKUP(BP14,'TMTF3 no comps'!$G$42:$I$51,3,FALSE)+BS14)</f>
        <v>0</v>
      </c>
      <c r="BW14" s="72">
        <f>IF(BQ14=0,0,VLOOKUP(BQ14,'TMTF3 no comps'!$G$42:$I$51,3,FALSE)+BT14)</f>
        <v>0</v>
      </c>
      <c r="BX14" s="72">
        <f>IF(BR14=0,0,VLOOKUP(BR14,'TMTF3 no comps'!$G$42:$I$51,3,FALSE)+BU14)</f>
        <v>0</v>
      </c>
      <c r="BY14" s="71">
        <v>60</v>
      </c>
      <c r="BZ14" s="103">
        <f>5/32</f>
        <v>0.15625</v>
      </c>
      <c r="CA14" s="71" t="s">
        <v>1</v>
      </c>
      <c r="CB14" s="103" t="str">
        <f t="shared" si="41"/>
        <v/>
      </c>
    </row>
    <row r="15" spans="1:80" x14ac:dyDescent="0.25">
      <c r="A15" s="92" t="s">
        <v>16</v>
      </c>
      <c r="B15" s="110">
        <v>1</v>
      </c>
      <c r="C15" s="92"/>
      <c r="D15" s="111" t="s">
        <v>1</v>
      </c>
      <c r="E15" s="93"/>
      <c r="F15" s="107" t="str">
        <f>IFERROR(MROUND((HLOOKUP(D15,$AM$8:AP15,ROW(D15)-7,FALSE)),HLOOKUP(D15,$D$1:$G$2,2,FALSE)),"")</f>
        <v/>
      </c>
      <c r="G15" s="107" t="str">
        <f t="shared" si="50"/>
        <v/>
      </c>
      <c r="H15" s="94" t="str">
        <f t="shared" si="29"/>
        <v>± 0.024 in</v>
      </c>
      <c r="I15" s="114" t="str">
        <f t="shared" si="0"/>
        <v>0.014 in</v>
      </c>
      <c r="J15" s="92"/>
      <c r="K15" s="92"/>
      <c r="L15" s="92"/>
      <c r="M15" s="72">
        <f t="shared" si="42"/>
        <v>0</v>
      </c>
      <c r="N15" s="72">
        <f t="shared" si="30"/>
        <v>0</v>
      </c>
      <c r="O15" s="72">
        <f t="shared" si="31"/>
        <v>0</v>
      </c>
      <c r="P15" s="95">
        <f t="shared" si="2"/>
        <v>0</v>
      </c>
      <c r="Q15" s="95">
        <f t="shared" si="3"/>
        <v>0</v>
      </c>
      <c r="R15" s="95">
        <f t="shared" si="4"/>
        <v>0</v>
      </c>
      <c r="S15" s="96">
        <f t="shared" si="43"/>
        <v>0</v>
      </c>
      <c r="T15" s="96">
        <f t="shared" si="5"/>
        <v>0</v>
      </c>
      <c r="U15" s="96">
        <f t="shared" si="5"/>
        <v>0</v>
      </c>
      <c r="V15" s="95">
        <f>S15*($D$4-'TMTF3 no comps'!$M$3)*calculator!$I$6</f>
        <v>0</v>
      </c>
      <c r="W15" s="95">
        <f>T15*($D$4-'TMTF3 no comps'!$M$3)*calculator!$I$6</f>
        <v>0</v>
      </c>
      <c r="X15" s="95">
        <f>U15*($D$4-'TMTF3 no comps'!$M$3)*calculator!$I$6</f>
        <v>0</v>
      </c>
      <c r="Y15" s="95">
        <f>IF(S15=0,0,VLOOKUP(S15,'TMTF3 no comps'!$B$42:$D$242,3,FALSE)+V15)</f>
        <v>0</v>
      </c>
      <c r="Z15" s="95">
        <f>IF(T15=0,0,VLOOKUP(T15,'TMTF3 no comps'!$B$42:$D$242,3,FALSE)+W15)</f>
        <v>0</v>
      </c>
      <c r="AA15" s="97">
        <f>IF(U15=0,0,VLOOKUP(U15,'TMTF3 no comps'!$B$42:$D$242,3,FALSE)+X15)</f>
        <v>0</v>
      </c>
      <c r="AB15" s="79">
        <f>MROUND(HLOOKUP(D15,$BD$8:BH15,BI15,FALSE),IF(OR(D15="ft",D15="m"),$D$2,$E$2))</f>
        <v>2.4E-2</v>
      </c>
      <c r="AC15" s="98">
        <f t="shared" si="44"/>
        <v>0</v>
      </c>
      <c r="AD15" s="79">
        <f t="shared" si="6"/>
        <v>0</v>
      </c>
      <c r="AE15" s="97">
        <f t="shared" si="45"/>
        <v>0</v>
      </c>
      <c r="AF15" s="97">
        <f>$AC15*($D$4-'TMTF3 no comps'!$M$3)*calculator!$I$6</f>
        <v>0</v>
      </c>
      <c r="AG15" s="97" t="e">
        <f>VLOOKUP(AC15,'TMTF3 no comps'!$B$42:$D$72,3,FALSE)+AF15</f>
        <v>#N/A</v>
      </c>
      <c r="AH15" s="97" t="e">
        <f t="shared" si="46"/>
        <v>#N/A</v>
      </c>
      <c r="AI15" s="97">
        <f t="shared" si="8"/>
        <v>0</v>
      </c>
      <c r="AJ15" s="97">
        <f t="shared" si="47"/>
        <v>0</v>
      </c>
      <c r="AK15" s="79">
        <f t="shared" si="48"/>
        <v>0</v>
      </c>
      <c r="AL15" s="99">
        <f t="shared" si="32"/>
        <v>2.3599999999999999E-2</v>
      </c>
      <c r="AM15" s="100" t="e">
        <f t="shared" si="9"/>
        <v>#N/A</v>
      </c>
      <c r="AN15" s="79" t="e">
        <f t="shared" si="49"/>
        <v>#N/A</v>
      </c>
      <c r="AO15" s="100" t="e">
        <f t="shared" si="33"/>
        <v>#VALUE!</v>
      </c>
      <c r="AP15" s="78" t="e">
        <f t="shared" si="34"/>
        <v>#VALUE!</v>
      </c>
      <c r="AQ15" s="79">
        <f t="shared" si="35"/>
        <v>2.214E-2</v>
      </c>
      <c r="AR15" s="79">
        <f t="shared" si="36"/>
        <v>1.2300000000000001E-5</v>
      </c>
      <c r="AS15" s="79">
        <f t="shared" si="10"/>
        <v>1.4E-2</v>
      </c>
      <c r="AT15" s="79" t="str">
        <f t="shared" si="11"/>
        <v>in</v>
      </c>
      <c r="AU15" s="79">
        <f t="shared" si="37"/>
        <v>1.4E-2</v>
      </c>
      <c r="AV15" s="98" t="e">
        <f t="shared" si="12"/>
        <v>#VALUE!</v>
      </c>
      <c r="AW15" s="73" t="str">
        <f t="shared" si="13"/>
        <v/>
      </c>
      <c r="AX15" s="73" t="e">
        <f t="shared" si="14"/>
        <v>#VALUE!</v>
      </c>
      <c r="AY15" s="73" t="e">
        <f>(($AV15*($C$5-'TMTF3 no comps'!$N$4)*($J$6))/1000)</f>
        <v>#VALUE!</v>
      </c>
      <c r="AZ15" s="95" t="e">
        <f>VLOOKUP(AV15,'TMTF3 no comps'!$G$42:$I$51,3,FALSE)+AY15</f>
        <v>#VALUE!</v>
      </c>
      <c r="BA15" s="95" t="e">
        <f t="shared" si="38"/>
        <v>#VALUE!</v>
      </c>
      <c r="BB15" s="72" t="e">
        <f t="shared" si="15"/>
        <v>#VALUE!</v>
      </c>
      <c r="BC15" s="101" t="e">
        <f t="shared" si="16"/>
        <v>#VALUE!</v>
      </c>
      <c r="BD15" s="73" t="e">
        <f t="shared" si="39"/>
        <v>#VALUE!</v>
      </c>
      <c r="BE15" s="73" t="e">
        <f t="shared" si="17"/>
        <v>#VALUE!</v>
      </c>
      <c r="BF15" s="73" t="e">
        <f t="shared" si="18"/>
        <v>#VALUE!</v>
      </c>
      <c r="BG15" s="73">
        <f t="shared" si="19"/>
        <v>1.97E-3</v>
      </c>
      <c r="BH15" s="102">
        <f t="shared" si="40"/>
        <v>2.3599999999999999E-2</v>
      </c>
      <c r="BI15" s="72">
        <v>8</v>
      </c>
      <c r="BJ15" s="72">
        <f t="shared" si="20"/>
        <v>0</v>
      </c>
      <c r="BK15" s="72">
        <f t="shared" si="21"/>
        <v>0</v>
      </c>
      <c r="BL15" s="72">
        <f t="shared" si="22"/>
        <v>0</v>
      </c>
      <c r="BM15" s="72">
        <f t="shared" si="23"/>
        <v>0</v>
      </c>
      <c r="BN15" s="72">
        <f t="shared" si="24"/>
        <v>0</v>
      </c>
      <c r="BO15" s="72">
        <f t="shared" si="25"/>
        <v>0</v>
      </c>
      <c r="BP15" s="72">
        <f t="shared" si="26"/>
        <v>0</v>
      </c>
      <c r="BQ15" s="72">
        <f t="shared" si="27"/>
        <v>0</v>
      </c>
      <c r="BR15" s="72">
        <f t="shared" si="28"/>
        <v>0</v>
      </c>
      <c r="BS15" s="72">
        <f>((BP15*($C$5-'TMTF3 no comps'!$N$4)*($J$6))/1000)</f>
        <v>0</v>
      </c>
      <c r="BT15" s="72">
        <f>((BQ15*($C$5-'TMTF3 no comps'!$N$4)*($J$6))/1000)</f>
        <v>0</v>
      </c>
      <c r="BU15" s="72">
        <f>((BR15*($C$5-'TMTF3 no comps'!$N$4)*($J$6))/1000)</f>
        <v>0</v>
      </c>
      <c r="BV15" s="72">
        <f>IF(BP15=0,0,VLOOKUP(BP15,'TMTF3 no comps'!$G$42:$I$51,3,FALSE)+BS15)</f>
        <v>0</v>
      </c>
      <c r="BW15" s="72">
        <f>IF(BQ15=0,0,VLOOKUP(BQ15,'TMTF3 no comps'!$G$42:$I$51,3,FALSE)+BT15)</f>
        <v>0</v>
      </c>
      <c r="BX15" s="72">
        <f>IF(BR15=0,0,VLOOKUP(BR15,'TMTF3 no comps'!$G$42:$I$51,3,FALSE)+BU15)</f>
        <v>0</v>
      </c>
      <c r="BY15" s="71">
        <v>72</v>
      </c>
      <c r="BZ15" s="103">
        <f>3/16</f>
        <v>0.1875</v>
      </c>
      <c r="CA15" s="71" t="s">
        <v>1</v>
      </c>
      <c r="CB15" s="103" t="str">
        <f t="shared" si="41"/>
        <v/>
      </c>
    </row>
    <row r="16" spans="1:80" x14ac:dyDescent="0.25">
      <c r="A16" s="92" t="s">
        <v>16</v>
      </c>
      <c r="B16" s="110">
        <v>1</v>
      </c>
      <c r="C16" s="92"/>
      <c r="D16" s="111" t="s">
        <v>1</v>
      </c>
      <c r="E16" s="93"/>
      <c r="F16" s="107" t="str">
        <f>IFERROR(MROUND((HLOOKUP(D16,$AM$8:AP16,ROW(D16)-7,FALSE)),HLOOKUP(D16,$D$1:$G$2,2,FALSE)),"")</f>
        <v/>
      </c>
      <c r="G16" s="107" t="str">
        <f t="shared" si="50"/>
        <v/>
      </c>
      <c r="H16" s="94" t="str">
        <f t="shared" si="29"/>
        <v>± 0.024 in</v>
      </c>
      <c r="I16" s="114" t="str">
        <f t="shared" si="0"/>
        <v>0.014 in</v>
      </c>
      <c r="J16" s="92"/>
      <c r="K16" s="92"/>
      <c r="L16" s="92"/>
      <c r="M16" s="72">
        <f t="shared" si="42"/>
        <v>0</v>
      </c>
      <c r="N16" s="72">
        <f t="shared" si="30"/>
        <v>0</v>
      </c>
      <c r="O16" s="72">
        <f t="shared" si="31"/>
        <v>0</v>
      </c>
      <c r="P16" s="95">
        <f t="shared" si="2"/>
        <v>0</v>
      </c>
      <c r="Q16" s="95">
        <f t="shared" si="3"/>
        <v>0</v>
      </c>
      <c r="R16" s="95">
        <f t="shared" si="4"/>
        <v>0</v>
      </c>
      <c r="S16" s="96">
        <f t="shared" si="43"/>
        <v>0</v>
      </c>
      <c r="T16" s="96">
        <f t="shared" si="5"/>
        <v>0</v>
      </c>
      <c r="U16" s="96">
        <f t="shared" si="5"/>
        <v>0</v>
      </c>
      <c r="V16" s="95">
        <f>S16*($D$4-'TMTF3 no comps'!$M$3)*calculator!$I$6</f>
        <v>0</v>
      </c>
      <c r="W16" s="95">
        <f>T16*($D$4-'TMTF3 no comps'!$M$3)*calculator!$I$6</f>
        <v>0</v>
      </c>
      <c r="X16" s="95">
        <f>U16*($D$4-'TMTF3 no comps'!$M$3)*calculator!$I$6</f>
        <v>0</v>
      </c>
      <c r="Y16" s="95">
        <f>IF(S16=0,0,VLOOKUP(S16,'TMTF3 no comps'!$B$42:$D$242,3,FALSE)+V16)</f>
        <v>0</v>
      </c>
      <c r="Z16" s="95">
        <f>IF(T16=0,0,VLOOKUP(T16,'TMTF3 no comps'!$B$42:$D$242,3,FALSE)+W16)</f>
        <v>0</v>
      </c>
      <c r="AA16" s="97">
        <f>IF(U16=0,0,VLOOKUP(U16,'TMTF3 no comps'!$B$42:$D$242,3,FALSE)+X16)</f>
        <v>0</v>
      </c>
      <c r="AB16" s="79">
        <f>MROUND(HLOOKUP(D16,$BD$8:BH16,BI16,FALSE),IF(OR(D16="ft",D16="m"),$D$2,$E$2))</f>
        <v>2.4E-2</v>
      </c>
      <c r="AC16" s="98">
        <f t="shared" si="44"/>
        <v>0</v>
      </c>
      <c r="AD16" s="79">
        <f t="shared" si="6"/>
        <v>0</v>
      </c>
      <c r="AE16" s="97">
        <f t="shared" si="45"/>
        <v>0</v>
      </c>
      <c r="AF16" s="97">
        <f>$AC16*($D$4-'TMTF3 no comps'!$M$3)*calculator!$I$6</f>
        <v>0</v>
      </c>
      <c r="AG16" s="97" t="e">
        <f>VLOOKUP(AC16,'TMTF3 no comps'!$B$42:$D$72,3,FALSE)+AF16</f>
        <v>#N/A</v>
      </c>
      <c r="AH16" s="97" t="e">
        <f t="shared" si="46"/>
        <v>#N/A</v>
      </c>
      <c r="AI16" s="97">
        <f t="shared" si="8"/>
        <v>0</v>
      </c>
      <c r="AJ16" s="97">
        <f t="shared" si="47"/>
        <v>0</v>
      </c>
      <c r="AK16" s="79">
        <f t="shared" si="48"/>
        <v>0</v>
      </c>
      <c r="AL16" s="99">
        <f t="shared" si="32"/>
        <v>2.3599999999999999E-2</v>
      </c>
      <c r="AM16" s="100" t="e">
        <f t="shared" si="9"/>
        <v>#N/A</v>
      </c>
      <c r="AN16" s="79" t="e">
        <f t="shared" si="49"/>
        <v>#N/A</v>
      </c>
      <c r="AO16" s="100" t="e">
        <f t="shared" si="33"/>
        <v>#VALUE!</v>
      </c>
      <c r="AP16" s="78" t="e">
        <f t="shared" si="34"/>
        <v>#VALUE!</v>
      </c>
      <c r="AQ16" s="79">
        <f t="shared" si="35"/>
        <v>2.214E-2</v>
      </c>
      <c r="AR16" s="79">
        <f t="shared" si="36"/>
        <v>1.2300000000000001E-5</v>
      </c>
      <c r="AS16" s="79">
        <f t="shared" si="10"/>
        <v>1.4E-2</v>
      </c>
      <c r="AT16" s="79" t="str">
        <f t="shared" si="11"/>
        <v>in</v>
      </c>
      <c r="AU16" s="79">
        <f t="shared" si="37"/>
        <v>1.4E-2</v>
      </c>
      <c r="AV16" s="98" t="e">
        <f t="shared" si="12"/>
        <v>#VALUE!</v>
      </c>
      <c r="AW16" s="73" t="str">
        <f t="shared" si="13"/>
        <v/>
      </c>
      <c r="AX16" s="73" t="e">
        <f t="shared" si="14"/>
        <v>#VALUE!</v>
      </c>
      <c r="AY16" s="73" t="e">
        <f>(($AV16*($C$5-'TMTF3 no comps'!$N$4)*($J$6))/1000)</f>
        <v>#VALUE!</v>
      </c>
      <c r="AZ16" s="95" t="e">
        <f>VLOOKUP(AV16,'TMTF3 no comps'!$G$42:$I$51,3,FALSE)+AY16</f>
        <v>#VALUE!</v>
      </c>
      <c r="BA16" s="95" t="e">
        <f t="shared" si="38"/>
        <v>#VALUE!</v>
      </c>
      <c r="BB16" s="72" t="e">
        <f t="shared" si="15"/>
        <v>#VALUE!</v>
      </c>
      <c r="BC16" s="101" t="e">
        <f t="shared" si="16"/>
        <v>#VALUE!</v>
      </c>
      <c r="BD16" s="73" t="e">
        <f t="shared" si="39"/>
        <v>#VALUE!</v>
      </c>
      <c r="BE16" s="73" t="e">
        <f t="shared" si="17"/>
        <v>#VALUE!</v>
      </c>
      <c r="BF16" s="73" t="e">
        <f t="shared" si="18"/>
        <v>#VALUE!</v>
      </c>
      <c r="BG16" s="73">
        <f t="shared" si="19"/>
        <v>1.97E-3</v>
      </c>
      <c r="BH16" s="102">
        <f t="shared" si="40"/>
        <v>2.3599999999999999E-2</v>
      </c>
      <c r="BI16" s="72">
        <v>9</v>
      </c>
      <c r="BJ16" s="72">
        <f t="shared" si="20"/>
        <v>0</v>
      </c>
      <c r="BK16" s="72">
        <f t="shared" si="21"/>
        <v>0</v>
      </c>
      <c r="BL16" s="72">
        <f t="shared" si="22"/>
        <v>0</v>
      </c>
      <c r="BM16" s="72">
        <f t="shared" si="23"/>
        <v>0</v>
      </c>
      <c r="BN16" s="72">
        <f t="shared" si="24"/>
        <v>0</v>
      </c>
      <c r="BO16" s="72">
        <f t="shared" si="25"/>
        <v>0</v>
      </c>
      <c r="BP16" s="72">
        <f t="shared" si="26"/>
        <v>0</v>
      </c>
      <c r="BQ16" s="72">
        <f t="shared" si="27"/>
        <v>0</v>
      </c>
      <c r="BR16" s="72">
        <f t="shared" si="28"/>
        <v>0</v>
      </c>
      <c r="BS16" s="72">
        <f>((BP16*($C$5-'TMTF3 no comps'!$N$4)*($J$6))/1000)</f>
        <v>0</v>
      </c>
      <c r="BT16" s="72">
        <f>((BQ16*($C$5-'TMTF3 no comps'!$N$4)*($J$6))/1000)</f>
        <v>0</v>
      </c>
      <c r="BU16" s="72">
        <f>((BR16*($C$5-'TMTF3 no comps'!$N$4)*($J$6))/1000)</f>
        <v>0</v>
      </c>
      <c r="BV16" s="72">
        <f>IF(BP16=0,0,VLOOKUP(BP16,'TMTF3 no comps'!$G$42:$I$51,3,FALSE)+BS16)</f>
        <v>0</v>
      </c>
      <c r="BW16" s="72">
        <f>IF(BQ16=0,0,VLOOKUP(BQ16,'TMTF3 no comps'!$G$42:$I$51,3,FALSE)+BT16)</f>
        <v>0</v>
      </c>
      <c r="BX16" s="72">
        <f>IF(BR16=0,0,VLOOKUP(BR16,'TMTF3 no comps'!$G$42:$I$51,3,FALSE)+BU16)</f>
        <v>0</v>
      </c>
      <c r="CB16" s="103" t="str">
        <f t="shared" si="41"/>
        <v/>
      </c>
    </row>
    <row r="17" spans="1:80" x14ac:dyDescent="0.25">
      <c r="A17" s="92" t="s">
        <v>16</v>
      </c>
      <c r="B17" s="110">
        <v>1</v>
      </c>
      <c r="C17" s="92"/>
      <c r="D17" s="111" t="s">
        <v>1</v>
      </c>
      <c r="E17" s="93"/>
      <c r="F17" s="107" t="str">
        <f>IFERROR(MROUND((HLOOKUP(D17,$AM$8:AP17,ROW(D17)-7,FALSE)),HLOOKUP(D17,$D$1:$G$2,2,FALSE)),"")</f>
        <v/>
      </c>
      <c r="G17" s="107" t="str">
        <f t="shared" si="50"/>
        <v/>
      </c>
      <c r="H17" s="94" t="str">
        <f t="shared" si="29"/>
        <v>± 0.024 in</v>
      </c>
      <c r="I17" s="114" t="str">
        <f t="shared" si="0"/>
        <v>0.014 in</v>
      </c>
      <c r="J17" s="92"/>
      <c r="K17" s="92"/>
      <c r="L17" s="92"/>
      <c r="M17" s="72">
        <f t="shared" si="42"/>
        <v>0</v>
      </c>
      <c r="N17" s="72">
        <f t="shared" si="30"/>
        <v>0</v>
      </c>
      <c r="O17" s="72">
        <f t="shared" si="31"/>
        <v>0</v>
      </c>
      <c r="P17" s="95">
        <f t="shared" si="2"/>
        <v>0</v>
      </c>
      <c r="Q17" s="95">
        <f t="shared" si="3"/>
        <v>0</v>
      </c>
      <c r="R17" s="95">
        <f t="shared" si="4"/>
        <v>0</v>
      </c>
      <c r="S17" s="96">
        <f t="shared" si="43"/>
        <v>0</v>
      </c>
      <c r="T17" s="96">
        <f t="shared" si="5"/>
        <v>0</v>
      </c>
      <c r="U17" s="96">
        <f t="shared" si="5"/>
        <v>0</v>
      </c>
      <c r="V17" s="95">
        <f>S17*($D$4-'TMTF3 no comps'!$M$3)*calculator!$I$6</f>
        <v>0</v>
      </c>
      <c r="W17" s="95">
        <f>T17*($D$4-'TMTF3 no comps'!$M$3)*calculator!$I$6</f>
        <v>0</v>
      </c>
      <c r="X17" s="95">
        <f>U17*($D$4-'TMTF3 no comps'!$M$3)*calculator!$I$6</f>
        <v>0</v>
      </c>
      <c r="Y17" s="95">
        <f>IF(S17=0,0,VLOOKUP(S17,'TMTF3 no comps'!$B$42:$D$242,3,FALSE)+V17)</f>
        <v>0</v>
      </c>
      <c r="Z17" s="95">
        <f>IF(T17=0,0,VLOOKUP(T17,'TMTF3 no comps'!$B$42:$D$242,3,FALSE)+W17)</f>
        <v>0</v>
      </c>
      <c r="AA17" s="97">
        <f>IF(U17=0,0,VLOOKUP(U17,'TMTF3 no comps'!$B$42:$D$242,3,FALSE)+X17)</f>
        <v>0</v>
      </c>
      <c r="AB17" s="79">
        <f>MROUND(HLOOKUP(D17,$BD$8:BH17,BI17,FALSE),IF(OR(D17="ft",D17="m"),$D$2,$E$2))</f>
        <v>2.4E-2</v>
      </c>
      <c r="AC17" s="98">
        <f t="shared" si="44"/>
        <v>0</v>
      </c>
      <c r="AD17" s="79">
        <f t="shared" si="6"/>
        <v>0</v>
      </c>
      <c r="AE17" s="97">
        <f t="shared" si="45"/>
        <v>0</v>
      </c>
      <c r="AF17" s="97">
        <f>$AC17*($D$4-'TMTF3 no comps'!$M$3)*calculator!$I$6</f>
        <v>0</v>
      </c>
      <c r="AG17" s="97" t="e">
        <f>VLOOKUP(AC17,'TMTF3 no comps'!$B$42:$D$72,3,FALSE)+AF17</f>
        <v>#N/A</v>
      </c>
      <c r="AH17" s="97" t="e">
        <f t="shared" si="46"/>
        <v>#N/A</v>
      </c>
      <c r="AI17" s="97">
        <f t="shared" si="8"/>
        <v>0</v>
      </c>
      <c r="AJ17" s="97">
        <f t="shared" si="47"/>
        <v>0</v>
      </c>
      <c r="AK17" s="79">
        <f t="shared" si="48"/>
        <v>0</v>
      </c>
      <c r="AL17" s="99">
        <f>(AD17/12)*(VLOOKUP(B17,$K$2:$Q$5,6,FALSE))+((VLOOKUP(B17,$K$2:$Q$5,4,FALSE))+(VLOOKUP(B17,$K$2:$Q$5,5,FALSE)))</f>
        <v>2.3599999999999999E-2</v>
      </c>
      <c r="AM17" s="100" t="e">
        <f t="shared" si="9"/>
        <v>#N/A</v>
      </c>
      <c r="AN17" s="79" t="e">
        <f t="shared" si="49"/>
        <v>#N/A</v>
      </c>
      <c r="AO17" s="100" t="e">
        <f t="shared" si="33"/>
        <v>#VALUE!</v>
      </c>
      <c r="AP17" s="78" t="e">
        <f t="shared" si="34"/>
        <v>#VALUE!</v>
      </c>
      <c r="AQ17" s="79">
        <f t="shared" si="35"/>
        <v>2.214E-2</v>
      </c>
      <c r="AR17" s="79">
        <f t="shared" si="36"/>
        <v>1.2300000000000001E-5</v>
      </c>
      <c r="AS17" s="79">
        <f t="shared" si="10"/>
        <v>1.4E-2</v>
      </c>
      <c r="AT17" s="79" t="str">
        <f t="shared" si="11"/>
        <v>in</v>
      </c>
      <c r="AU17" s="79">
        <f t="shared" si="37"/>
        <v>1.4E-2</v>
      </c>
      <c r="AV17" s="98" t="e">
        <f t="shared" si="12"/>
        <v>#VALUE!</v>
      </c>
      <c r="AW17" s="73" t="str">
        <f t="shared" si="13"/>
        <v/>
      </c>
      <c r="AX17" s="73" t="e">
        <f t="shared" si="14"/>
        <v>#VALUE!</v>
      </c>
      <c r="AY17" s="73" t="e">
        <f>(($AV17*($C$5-'TMTF3 no comps'!$N$4)*($J$6))/1000)</f>
        <v>#VALUE!</v>
      </c>
      <c r="AZ17" s="95" t="e">
        <f>VLOOKUP(AV17,'TMTF3 no comps'!$G$42:$I$51,3,FALSE)+AY17</f>
        <v>#VALUE!</v>
      </c>
      <c r="BA17" s="95" t="e">
        <f t="shared" si="38"/>
        <v>#VALUE!</v>
      </c>
      <c r="BB17" s="72" t="e">
        <f t="shared" si="15"/>
        <v>#VALUE!</v>
      </c>
      <c r="BC17" s="101" t="e">
        <f t="shared" si="16"/>
        <v>#VALUE!</v>
      </c>
      <c r="BD17" s="73" t="e">
        <f t="shared" si="39"/>
        <v>#VALUE!</v>
      </c>
      <c r="BE17" s="73" t="e">
        <f t="shared" si="17"/>
        <v>#VALUE!</v>
      </c>
      <c r="BF17" s="73" t="e">
        <f t="shared" si="18"/>
        <v>#VALUE!</v>
      </c>
      <c r="BG17" s="73">
        <f t="shared" si="19"/>
        <v>1.97E-3</v>
      </c>
      <c r="BH17" s="102">
        <f t="shared" si="40"/>
        <v>2.3599999999999999E-2</v>
      </c>
      <c r="BI17" s="72">
        <v>10</v>
      </c>
      <c r="BJ17" s="72">
        <f t="shared" si="20"/>
        <v>0</v>
      </c>
      <c r="BK17" s="72">
        <f t="shared" si="21"/>
        <v>0</v>
      </c>
      <c r="BL17" s="72">
        <f t="shared" si="22"/>
        <v>0</v>
      </c>
      <c r="BM17" s="72">
        <f t="shared" si="23"/>
        <v>0</v>
      </c>
      <c r="BN17" s="72">
        <f t="shared" si="24"/>
        <v>0</v>
      </c>
      <c r="BO17" s="72">
        <f t="shared" si="25"/>
        <v>0</v>
      </c>
      <c r="BP17" s="72">
        <f t="shared" si="26"/>
        <v>0</v>
      </c>
      <c r="BQ17" s="72">
        <f t="shared" si="27"/>
        <v>0</v>
      </c>
      <c r="BR17" s="72">
        <f t="shared" si="28"/>
        <v>0</v>
      </c>
      <c r="BS17" s="72">
        <f>((BP17*($C$5-'TMTF3 no comps'!$N$4)*($J$6))/1000)</f>
        <v>0</v>
      </c>
      <c r="BT17" s="72">
        <f>((BQ17*($C$5-'TMTF3 no comps'!$N$4)*($J$6))/1000)</f>
        <v>0</v>
      </c>
      <c r="BU17" s="72">
        <f>((BR17*($C$5-'TMTF3 no comps'!$N$4)*($J$6))/1000)</f>
        <v>0</v>
      </c>
      <c r="BV17" s="72">
        <f>IF(BP17=0,0,VLOOKUP(BP17,'TMTF3 no comps'!$G$42:$I$51,3,FALSE)+BS17)</f>
        <v>0</v>
      </c>
      <c r="BW17" s="72">
        <f>IF(BQ17=0,0,VLOOKUP(BQ17,'TMTF3 no comps'!$G$42:$I$51,3,FALSE)+BT17)</f>
        <v>0</v>
      </c>
      <c r="BX17" s="72">
        <f>IF(BR17=0,0,VLOOKUP(BR17,'TMTF3 no comps'!$G$42:$I$51,3,FALSE)+BU17)</f>
        <v>0</v>
      </c>
      <c r="CB17" s="103" t="str">
        <f t="shared" si="41"/>
        <v/>
      </c>
    </row>
    <row r="18" spans="1:80" x14ac:dyDescent="0.25">
      <c r="A18" s="92" t="s">
        <v>16</v>
      </c>
      <c r="B18" s="110">
        <v>1</v>
      </c>
      <c r="C18" s="92"/>
      <c r="D18" s="111" t="s">
        <v>1</v>
      </c>
      <c r="E18" s="93"/>
      <c r="F18" s="107" t="str">
        <f>IFERROR(MROUND((HLOOKUP(D18,$AM$8:AP18,ROW(D18)-7,FALSE)),HLOOKUP(D18,$D$1:$G$2,2,FALSE)),"")</f>
        <v/>
      </c>
      <c r="G18" s="107" t="str">
        <f t="shared" si="50"/>
        <v/>
      </c>
      <c r="H18" s="94" t="str">
        <f t="shared" si="29"/>
        <v>± 0.024 in</v>
      </c>
      <c r="I18" s="114" t="str">
        <f t="shared" si="0"/>
        <v>0.014 in</v>
      </c>
      <c r="J18" s="92"/>
      <c r="K18" s="92"/>
      <c r="L18" s="92"/>
      <c r="M18" s="72">
        <f t="shared" si="42"/>
        <v>0</v>
      </c>
      <c r="N18" s="72">
        <f t="shared" si="30"/>
        <v>0</v>
      </c>
      <c r="O18" s="72">
        <f t="shared" si="31"/>
        <v>0</v>
      </c>
      <c r="P18" s="95">
        <f t="shared" si="2"/>
        <v>0</v>
      </c>
      <c r="Q18" s="95">
        <f t="shared" si="3"/>
        <v>0</v>
      </c>
      <c r="R18" s="95">
        <f t="shared" si="4"/>
        <v>0</v>
      </c>
      <c r="S18" s="96">
        <f t="shared" si="43"/>
        <v>0</v>
      </c>
      <c r="T18" s="96">
        <f t="shared" si="5"/>
        <v>0</v>
      </c>
      <c r="U18" s="96">
        <f t="shared" si="5"/>
        <v>0</v>
      </c>
      <c r="V18" s="95">
        <f>S18*($D$4-'TMTF3 no comps'!$M$3)*calculator!$I$6</f>
        <v>0</v>
      </c>
      <c r="W18" s="95">
        <f>T18*($D$4-'TMTF3 no comps'!$M$3)*calculator!$I$6</f>
        <v>0</v>
      </c>
      <c r="X18" s="95">
        <f>U18*($D$4-'TMTF3 no comps'!$M$3)*calculator!$I$6</f>
        <v>0</v>
      </c>
      <c r="Y18" s="95">
        <f>IF(S18=0,0,VLOOKUP(S18,'TMTF3 no comps'!$B$42:$D$242,3,FALSE)+V18)</f>
        <v>0</v>
      </c>
      <c r="Z18" s="95">
        <f>IF(T18=0,0,VLOOKUP(T18,'TMTF3 no comps'!$B$42:$D$242,3,FALSE)+W18)</f>
        <v>0</v>
      </c>
      <c r="AA18" s="97">
        <f>IF(U18=0,0,VLOOKUP(U18,'TMTF3 no comps'!$B$42:$D$242,3,FALSE)+X18)</f>
        <v>0</v>
      </c>
      <c r="AB18" s="79">
        <f>MROUND(HLOOKUP(D18,$BD$8:BH18,BI18,FALSE),IF(OR(D18="ft",D18="m"),$D$2,$E$2))</f>
        <v>2.4E-2</v>
      </c>
      <c r="AC18" s="98">
        <f t="shared" si="44"/>
        <v>0</v>
      </c>
      <c r="AD18" s="79">
        <f t="shared" si="6"/>
        <v>0</v>
      </c>
      <c r="AE18" s="97">
        <f t="shared" si="45"/>
        <v>0</v>
      </c>
      <c r="AF18" s="97">
        <f>$AC18*($D$4-'TMTF3 no comps'!$M$3)*calculator!$I$6</f>
        <v>0</v>
      </c>
      <c r="AG18" s="97" t="e">
        <f>VLOOKUP(AC18,'TMTF3 no comps'!$B$42:$D$72,3,FALSE)+AF18</f>
        <v>#N/A</v>
      </c>
      <c r="AH18" s="97" t="e">
        <f t="shared" si="46"/>
        <v>#N/A</v>
      </c>
      <c r="AI18" s="97">
        <f t="shared" si="8"/>
        <v>0</v>
      </c>
      <c r="AJ18" s="97">
        <f t="shared" si="47"/>
        <v>0</v>
      </c>
      <c r="AK18" s="79">
        <f t="shared" si="48"/>
        <v>0</v>
      </c>
      <c r="AL18" s="99">
        <f t="shared" si="32"/>
        <v>2.3599999999999999E-2</v>
      </c>
      <c r="AM18" s="100" t="e">
        <f t="shared" si="9"/>
        <v>#N/A</v>
      </c>
      <c r="AN18" s="79" t="e">
        <f t="shared" si="49"/>
        <v>#N/A</v>
      </c>
      <c r="AO18" s="100" t="e">
        <f t="shared" si="33"/>
        <v>#VALUE!</v>
      </c>
      <c r="AP18" s="78" t="e">
        <f t="shared" si="34"/>
        <v>#VALUE!</v>
      </c>
      <c r="AQ18" s="79">
        <f t="shared" si="35"/>
        <v>2.214E-2</v>
      </c>
      <c r="AR18" s="79">
        <f t="shared" si="36"/>
        <v>1.2300000000000001E-5</v>
      </c>
      <c r="AS18" s="79">
        <f t="shared" si="10"/>
        <v>1.4E-2</v>
      </c>
      <c r="AT18" s="79" t="str">
        <f t="shared" si="11"/>
        <v>in</v>
      </c>
      <c r="AU18" s="79">
        <f t="shared" si="37"/>
        <v>1.4E-2</v>
      </c>
      <c r="AV18" s="98" t="e">
        <f t="shared" si="12"/>
        <v>#VALUE!</v>
      </c>
      <c r="AW18" s="73" t="str">
        <f t="shared" si="13"/>
        <v/>
      </c>
      <c r="AX18" s="73" t="e">
        <f t="shared" si="14"/>
        <v>#VALUE!</v>
      </c>
      <c r="AY18" s="73" t="e">
        <f>(($AV18*($C$5-'TMTF3 no comps'!$N$4)*($J$6))/1000)</f>
        <v>#VALUE!</v>
      </c>
      <c r="AZ18" s="95" t="e">
        <f>VLOOKUP(AV18,'TMTF3 no comps'!$G$42:$I$51,3,FALSE)+AY18</f>
        <v>#VALUE!</v>
      </c>
      <c r="BA18" s="95" t="e">
        <f t="shared" si="38"/>
        <v>#VALUE!</v>
      </c>
      <c r="BB18" s="72" t="e">
        <f t="shared" si="15"/>
        <v>#VALUE!</v>
      </c>
      <c r="BC18" s="101" t="e">
        <f t="shared" si="16"/>
        <v>#VALUE!</v>
      </c>
      <c r="BD18" s="73" t="e">
        <f t="shared" si="39"/>
        <v>#VALUE!</v>
      </c>
      <c r="BE18" s="73" t="e">
        <f t="shared" si="17"/>
        <v>#VALUE!</v>
      </c>
      <c r="BF18" s="73" t="e">
        <f t="shared" si="18"/>
        <v>#VALUE!</v>
      </c>
      <c r="BG18" s="73">
        <f t="shared" si="19"/>
        <v>1.97E-3</v>
      </c>
      <c r="BH18" s="102">
        <f t="shared" si="40"/>
        <v>2.3599999999999999E-2</v>
      </c>
      <c r="BI18" s="72">
        <v>11</v>
      </c>
      <c r="BJ18" s="72">
        <f t="shared" si="20"/>
        <v>0</v>
      </c>
      <c r="BK18" s="72">
        <f t="shared" si="21"/>
        <v>0</v>
      </c>
      <c r="BL18" s="72">
        <f t="shared" si="22"/>
        <v>0</v>
      </c>
      <c r="BM18" s="72">
        <f t="shared" si="23"/>
        <v>0</v>
      </c>
      <c r="BN18" s="72">
        <f t="shared" si="24"/>
        <v>0</v>
      </c>
      <c r="BO18" s="72">
        <f t="shared" si="25"/>
        <v>0</v>
      </c>
      <c r="BP18" s="72">
        <f t="shared" si="26"/>
        <v>0</v>
      </c>
      <c r="BQ18" s="72">
        <f t="shared" si="27"/>
        <v>0</v>
      </c>
      <c r="BR18" s="72">
        <f t="shared" si="28"/>
        <v>0</v>
      </c>
      <c r="BS18" s="72">
        <f>((BP18*($C$5-'TMTF3 no comps'!$N$4)*($J$6))/1000)</f>
        <v>0</v>
      </c>
      <c r="BT18" s="72">
        <f>((BQ18*($C$5-'TMTF3 no comps'!$N$4)*($J$6))/1000)</f>
        <v>0</v>
      </c>
      <c r="BU18" s="72">
        <f>((BR18*($C$5-'TMTF3 no comps'!$N$4)*($J$6))/1000)</f>
        <v>0</v>
      </c>
      <c r="BV18" s="72">
        <f>IF(BP18=0,0,VLOOKUP(BP18,'TMTF3 no comps'!$G$42:$I$51,3,FALSE)+BS18)</f>
        <v>0</v>
      </c>
      <c r="BW18" s="72">
        <f>IF(BQ18=0,0,VLOOKUP(BQ18,'TMTF3 no comps'!$G$42:$I$51,3,FALSE)+BT18)</f>
        <v>0</v>
      </c>
      <c r="BX18" s="72">
        <f>IF(BR18=0,0,VLOOKUP(BR18,'TMTF3 no comps'!$G$42:$I$51,3,FALSE)+BU18)</f>
        <v>0</v>
      </c>
      <c r="CB18" s="103" t="str">
        <f t="shared" si="41"/>
        <v/>
      </c>
    </row>
    <row r="19" spans="1:80" x14ac:dyDescent="0.25">
      <c r="A19" s="92" t="s">
        <v>16</v>
      </c>
      <c r="B19" s="110">
        <v>1</v>
      </c>
      <c r="C19" s="92"/>
      <c r="D19" s="111" t="s">
        <v>1</v>
      </c>
      <c r="E19" s="93"/>
      <c r="F19" s="107" t="str">
        <f>IFERROR(MROUND((HLOOKUP(D19,$AM$8:AP19,ROW(D19)-7,FALSE)),HLOOKUP(D19,$D$1:$G$2,2,FALSE)),"")</f>
        <v/>
      </c>
      <c r="G19" s="107" t="str">
        <f t="shared" si="50"/>
        <v/>
      </c>
      <c r="H19" s="94" t="str">
        <f t="shared" si="29"/>
        <v>± 0.024 in</v>
      </c>
      <c r="I19" s="114" t="str">
        <f t="shared" si="0"/>
        <v>0.014 in</v>
      </c>
      <c r="J19" s="92"/>
      <c r="K19" s="92"/>
      <c r="L19" s="92"/>
      <c r="M19" s="72">
        <f t="shared" si="42"/>
        <v>0</v>
      </c>
      <c r="N19" s="72">
        <f t="shared" si="30"/>
        <v>0</v>
      </c>
      <c r="O19" s="72">
        <f t="shared" si="31"/>
        <v>0</v>
      </c>
      <c r="P19" s="95">
        <f t="shared" si="2"/>
        <v>0</v>
      </c>
      <c r="Q19" s="95">
        <f t="shared" si="3"/>
        <v>0</v>
      </c>
      <c r="R19" s="95">
        <f t="shared" si="4"/>
        <v>0</v>
      </c>
      <c r="S19" s="96">
        <f t="shared" si="43"/>
        <v>0</v>
      </c>
      <c r="T19" s="96">
        <f t="shared" si="5"/>
        <v>0</v>
      </c>
      <c r="U19" s="96">
        <f t="shared" si="5"/>
        <v>0</v>
      </c>
      <c r="V19" s="95">
        <f>S19*($D$4-'TMTF3 no comps'!$M$3)*calculator!$I$6</f>
        <v>0</v>
      </c>
      <c r="W19" s="95">
        <f>T19*($D$4-'TMTF3 no comps'!$M$3)*calculator!$I$6</f>
        <v>0</v>
      </c>
      <c r="X19" s="95">
        <f>U19*($D$4-'TMTF3 no comps'!$M$3)*calculator!$I$6</f>
        <v>0</v>
      </c>
      <c r="Y19" s="95">
        <f>IF(S19=0,0,VLOOKUP(S19,'TMTF3 no comps'!$B$42:$D$242,3,FALSE)+V19)</f>
        <v>0</v>
      </c>
      <c r="Z19" s="95">
        <f>IF(T19=0,0,VLOOKUP(T19,'TMTF3 no comps'!$B$42:$D$242,3,FALSE)+W19)</f>
        <v>0</v>
      </c>
      <c r="AA19" s="97">
        <f>IF(U19=0,0,VLOOKUP(U19,'TMTF3 no comps'!$B$42:$D$242,3,FALSE)+X19)</f>
        <v>0</v>
      </c>
      <c r="AB19" s="79">
        <f>MROUND(HLOOKUP(D19,$BD$8:BH19,BI19,FALSE),IF(OR(D19="ft",D19="m"),$D$2,$E$2))</f>
        <v>2.4E-2</v>
      </c>
      <c r="AC19" s="98">
        <f t="shared" si="44"/>
        <v>0</v>
      </c>
      <c r="AD19" s="79">
        <f t="shared" si="6"/>
        <v>0</v>
      </c>
      <c r="AE19" s="97">
        <f t="shared" si="45"/>
        <v>0</v>
      </c>
      <c r="AF19" s="97">
        <f>$AC19*($D$4-'TMTF3 no comps'!$M$3)*calculator!$I$6</f>
        <v>0</v>
      </c>
      <c r="AG19" s="97" t="e">
        <f>VLOOKUP(AC19,'TMTF3 no comps'!$B$42:$D$72,3,FALSE)+AF19</f>
        <v>#N/A</v>
      </c>
      <c r="AH19" s="97" t="e">
        <f t="shared" si="46"/>
        <v>#N/A</v>
      </c>
      <c r="AI19" s="97">
        <f t="shared" si="8"/>
        <v>0</v>
      </c>
      <c r="AJ19" s="97">
        <f t="shared" si="47"/>
        <v>0</v>
      </c>
      <c r="AK19" s="79">
        <f t="shared" si="48"/>
        <v>0</v>
      </c>
      <c r="AL19" s="99">
        <f t="shared" si="32"/>
        <v>2.3599999999999999E-2</v>
      </c>
      <c r="AM19" s="100" t="e">
        <f t="shared" si="9"/>
        <v>#N/A</v>
      </c>
      <c r="AN19" s="79" t="e">
        <f t="shared" si="49"/>
        <v>#N/A</v>
      </c>
      <c r="AO19" s="100" t="e">
        <f t="shared" si="33"/>
        <v>#VALUE!</v>
      </c>
      <c r="AP19" s="78" t="e">
        <f t="shared" si="34"/>
        <v>#VALUE!</v>
      </c>
      <c r="AQ19" s="79">
        <f t="shared" si="35"/>
        <v>2.214E-2</v>
      </c>
      <c r="AR19" s="79">
        <f t="shared" si="36"/>
        <v>1.2300000000000001E-5</v>
      </c>
      <c r="AS19" s="79">
        <f t="shared" si="10"/>
        <v>1.4E-2</v>
      </c>
      <c r="AT19" s="79" t="str">
        <f t="shared" si="11"/>
        <v>in</v>
      </c>
      <c r="AU19" s="79">
        <f t="shared" si="37"/>
        <v>1.4E-2</v>
      </c>
      <c r="AV19" s="98" t="e">
        <f t="shared" si="12"/>
        <v>#VALUE!</v>
      </c>
      <c r="AW19" s="73" t="str">
        <f t="shared" si="13"/>
        <v/>
      </c>
      <c r="AX19" s="73" t="e">
        <f t="shared" si="14"/>
        <v>#VALUE!</v>
      </c>
      <c r="AY19" s="73" t="e">
        <f>(($AV19*($C$5-'TMTF3 no comps'!$N$4)*($J$6))/1000)</f>
        <v>#VALUE!</v>
      </c>
      <c r="AZ19" s="95" t="e">
        <f>VLOOKUP(AV19,'TMTF3 no comps'!$G$42:$I$51,3,FALSE)+AY19</f>
        <v>#VALUE!</v>
      </c>
      <c r="BA19" s="95" t="e">
        <f t="shared" si="38"/>
        <v>#VALUE!</v>
      </c>
      <c r="BB19" s="72" t="e">
        <f t="shared" si="15"/>
        <v>#VALUE!</v>
      </c>
      <c r="BC19" s="101" t="e">
        <f t="shared" si="16"/>
        <v>#VALUE!</v>
      </c>
      <c r="BD19" s="73" t="e">
        <f t="shared" si="39"/>
        <v>#VALUE!</v>
      </c>
      <c r="BE19" s="73" t="e">
        <f t="shared" si="17"/>
        <v>#VALUE!</v>
      </c>
      <c r="BF19" s="73" t="e">
        <f t="shared" si="18"/>
        <v>#VALUE!</v>
      </c>
      <c r="BG19" s="73">
        <f t="shared" si="19"/>
        <v>1.97E-3</v>
      </c>
      <c r="BH19" s="102">
        <f t="shared" si="40"/>
        <v>2.3599999999999999E-2</v>
      </c>
      <c r="BI19" s="72">
        <v>12</v>
      </c>
      <c r="BJ19" s="72">
        <f t="shared" si="20"/>
        <v>0</v>
      </c>
      <c r="BK19" s="72">
        <f t="shared" si="21"/>
        <v>0</v>
      </c>
      <c r="BL19" s="72">
        <f t="shared" si="22"/>
        <v>0</v>
      </c>
      <c r="BM19" s="72">
        <f t="shared" si="23"/>
        <v>0</v>
      </c>
      <c r="BN19" s="72">
        <f t="shared" si="24"/>
        <v>0</v>
      </c>
      <c r="BO19" s="72">
        <f t="shared" si="25"/>
        <v>0</v>
      </c>
      <c r="BP19" s="72">
        <f t="shared" si="26"/>
        <v>0</v>
      </c>
      <c r="BQ19" s="72">
        <f t="shared" si="27"/>
        <v>0</v>
      </c>
      <c r="BR19" s="72">
        <f t="shared" si="28"/>
        <v>0</v>
      </c>
      <c r="BS19" s="72">
        <f>((BP19*($C$5-'TMTF3 no comps'!$N$4)*($J$6))/1000)</f>
        <v>0</v>
      </c>
      <c r="BT19" s="72">
        <f>((BQ19*($C$5-'TMTF3 no comps'!$N$4)*($J$6))/1000)</f>
        <v>0</v>
      </c>
      <c r="BU19" s="72">
        <f>((BR19*($C$5-'TMTF3 no comps'!$N$4)*($J$6))/1000)</f>
        <v>0</v>
      </c>
      <c r="BV19" s="72">
        <f>IF(BP19=0,0,VLOOKUP(BP19,'TMTF3 no comps'!$G$42:$I$51,3,FALSE)+BS19)</f>
        <v>0</v>
      </c>
      <c r="BW19" s="72">
        <f>IF(BQ19=0,0,VLOOKUP(BQ19,'TMTF3 no comps'!$G$42:$I$51,3,FALSE)+BT19)</f>
        <v>0</v>
      </c>
      <c r="BX19" s="72">
        <f>IF(BR19=0,0,VLOOKUP(BR19,'TMTF3 no comps'!$G$42:$I$51,3,FALSE)+BU19)</f>
        <v>0</v>
      </c>
      <c r="CB19" s="103" t="str">
        <f t="shared" si="41"/>
        <v/>
      </c>
    </row>
    <row r="20" spans="1:80" x14ac:dyDescent="0.25">
      <c r="A20" s="92" t="s">
        <v>16</v>
      </c>
      <c r="B20" s="110">
        <v>1</v>
      </c>
      <c r="C20" s="92"/>
      <c r="D20" s="111" t="s">
        <v>1</v>
      </c>
      <c r="E20" s="93"/>
      <c r="F20" s="107" t="str">
        <f>IFERROR(MROUND((HLOOKUP(D20,$AM$8:AP20,ROW(D20)-7,FALSE)),HLOOKUP(D20,$D$1:$G$2,2,FALSE)),"")</f>
        <v/>
      </c>
      <c r="G20" s="107" t="str">
        <f t="shared" si="50"/>
        <v/>
      </c>
      <c r="H20" s="94" t="str">
        <f t="shared" si="29"/>
        <v>± 0.024 in</v>
      </c>
      <c r="I20" s="114" t="str">
        <f t="shared" si="0"/>
        <v>0.014 in</v>
      </c>
      <c r="J20" s="92"/>
      <c r="K20" s="92"/>
      <c r="L20" s="92"/>
      <c r="M20" s="72">
        <f t="shared" si="42"/>
        <v>0</v>
      </c>
      <c r="N20" s="72">
        <f t="shared" si="30"/>
        <v>0</v>
      </c>
      <c r="O20" s="72">
        <f t="shared" si="31"/>
        <v>0</v>
      </c>
      <c r="P20" s="95">
        <f t="shared" si="2"/>
        <v>0</v>
      </c>
      <c r="Q20" s="95">
        <f t="shared" si="3"/>
        <v>0</v>
      </c>
      <c r="R20" s="95">
        <f t="shared" si="4"/>
        <v>0</v>
      </c>
      <c r="S20" s="96">
        <f t="shared" si="43"/>
        <v>0</v>
      </c>
      <c r="T20" s="96">
        <f t="shared" si="5"/>
        <v>0</v>
      </c>
      <c r="U20" s="96">
        <f t="shared" si="5"/>
        <v>0</v>
      </c>
      <c r="V20" s="95">
        <f>S20*($D$4-'TMTF3 no comps'!$M$3)*calculator!$I$6</f>
        <v>0</v>
      </c>
      <c r="W20" s="95">
        <f>T20*($D$4-'TMTF3 no comps'!$M$3)*calculator!$I$6</f>
        <v>0</v>
      </c>
      <c r="X20" s="95">
        <f>U20*($D$4-'TMTF3 no comps'!$M$3)*calculator!$I$6</f>
        <v>0</v>
      </c>
      <c r="Y20" s="95">
        <f>IF(S20=0,0,VLOOKUP(S20,'TMTF3 no comps'!$B$42:$D$242,3,FALSE)+V20)</f>
        <v>0</v>
      </c>
      <c r="Z20" s="95">
        <f>IF(T20=0,0,VLOOKUP(T20,'TMTF3 no comps'!$B$42:$D$242,3,FALSE)+W20)</f>
        <v>0</v>
      </c>
      <c r="AA20" s="97">
        <f>IF(U20=0,0,VLOOKUP(U20,'TMTF3 no comps'!$B$42:$D$242,3,FALSE)+X20)</f>
        <v>0</v>
      </c>
      <c r="AB20" s="79">
        <f>MROUND(HLOOKUP(D20,$BD$8:BH20,BI20,FALSE),IF(OR(D20="ft",D20="m"),$D$2,$E$2))</f>
        <v>2.4E-2</v>
      </c>
      <c r="AC20" s="98">
        <f t="shared" si="44"/>
        <v>0</v>
      </c>
      <c r="AD20" s="79">
        <f t="shared" si="6"/>
        <v>0</v>
      </c>
      <c r="AE20" s="97">
        <f t="shared" si="45"/>
        <v>0</v>
      </c>
      <c r="AF20" s="97">
        <f>$AC20*($D$4-'TMTF3 no comps'!$M$3)*calculator!$I$6</f>
        <v>0</v>
      </c>
      <c r="AG20" s="97" t="e">
        <f>VLOOKUP(AC20,'TMTF3 no comps'!$B$42:$D$72,3,FALSE)+AF20</f>
        <v>#N/A</v>
      </c>
      <c r="AH20" s="97" t="e">
        <f t="shared" si="46"/>
        <v>#N/A</v>
      </c>
      <c r="AI20" s="97">
        <f t="shared" si="8"/>
        <v>0</v>
      </c>
      <c r="AJ20" s="97">
        <f t="shared" si="47"/>
        <v>0</v>
      </c>
      <c r="AK20" s="79">
        <f t="shared" si="48"/>
        <v>0</v>
      </c>
      <c r="AL20" s="99">
        <f t="shared" si="32"/>
        <v>2.3599999999999999E-2</v>
      </c>
      <c r="AM20" s="100" t="e">
        <f t="shared" si="9"/>
        <v>#N/A</v>
      </c>
      <c r="AN20" s="79" t="e">
        <f t="shared" si="49"/>
        <v>#N/A</v>
      </c>
      <c r="AO20" s="100" t="e">
        <f t="shared" si="33"/>
        <v>#VALUE!</v>
      </c>
      <c r="AP20" s="78" t="e">
        <f t="shared" si="34"/>
        <v>#VALUE!</v>
      </c>
      <c r="AQ20" s="79">
        <f t="shared" si="35"/>
        <v>2.214E-2</v>
      </c>
      <c r="AR20" s="79">
        <f t="shared" si="36"/>
        <v>1.2300000000000001E-5</v>
      </c>
      <c r="AS20" s="79">
        <f t="shared" si="10"/>
        <v>1.4E-2</v>
      </c>
      <c r="AT20" s="79" t="str">
        <f t="shared" si="11"/>
        <v>in</v>
      </c>
      <c r="AU20" s="79">
        <f t="shared" si="37"/>
        <v>1.4E-2</v>
      </c>
      <c r="AV20" s="98" t="e">
        <f t="shared" si="12"/>
        <v>#VALUE!</v>
      </c>
      <c r="AW20" s="73" t="str">
        <f t="shared" si="13"/>
        <v/>
      </c>
      <c r="AX20" s="73" t="e">
        <f t="shared" si="14"/>
        <v>#VALUE!</v>
      </c>
      <c r="AY20" s="73" t="e">
        <f>(($AV20*($C$5-'TMTF3 no comps'!$N$4)*($J$6))/1000)</f>
        <v>#VALUE!</v>
      </c>
      <c r="AZ20" s="95" t="e">
        <f>VLOOKUP(AV20,'TMTF3 no comps'!$G$42:$I$51,3,FALSE)+AY20</f>
        <v>#VALUE!</v>
      </c>
      <c r="BA20" s="95" t="e">
        <f t="shared" si="38"/>
        <v>#VALUE!</v>
      </c>
      <c r="BB20" s="72" t="e">
        <f t="shared" si="15"/>
        <v>#VALUE!</v>
      </c>
      <c r="BC20" s="101" t="e">
        <f t="shared" si="16"/>
        <v>#VALUE!</v>
      </c>
      <c r="BD20" s="73" t="e">
        <f t="shared" si="39"/>
        <v>#VALUE!</v>
      </c>
      <c r="BE20" s="73" t="e">
        <f t="shared" si="17"/>
        <v>#VALUE!</v>
      </c>
      <c r="BF20" s="73" t="e">
        <f t="shared" si="18"/>
        <v>#VALUE!</v>
      </c>
      <c r="BG20" s="73">
        <f t="shared" si="19"/>
        <v>1.97E-3</v>
      </c>
      <c r="BH20" s="102">
        <f t="shared" si="40"/>
        <v>2.3599999999999999E-2</v>
      </c>
      <c r="BI20" s="72">
        <v>13</v>
      </c>
      <c r="BJ20" s="72">
        <f t="shared" si="20"/>
        <v>0</v>
      </c>
      <c r="BK20" s="72">
        <f t="shared" si="21"/>
        <v>0</v>
      </c>
      <c r="BL20" s="72">
        <f t="shared" si="22"/>
        <v>0</v>
      </c>
      <c r="BM20" s="72">
        <f t="shared" si="23"/>
        <v>0</v>
      </c>
      <c r="BN20" s="72">
        <f t="shared" si="24"/>
        <v>0</v>
      </c>
      <c r="BO20" s="72">
        <f t="shared" si="25"/>
        <v>0</v>
      </c>
      <c r="BP20" s="72">
        <f t="shared" si="26"/>
        <v>0</v>
      </c>
      <c r="BQ20" s="72">
        <f t="shared" si="27"/>
        <v>0</v>
      </c>
      <c r="BR20" s="72">
        <f t="shared" si="28"/>
        <v>0</v>
      </c>
      <c r="BS20" s="72">
        <f>((BP20*($C$5-'TMTF3 no comps'!$N$4)*($J$6))/1000)</f>
        <v>0</v>
      </c>
      <c r="BT20" s="72">
        <f>((BQ20*($C$5-'TMTF3 no comps'!$N$4)*($J$6))/1000)</f>
        <v>0</v>
      </c>
      <c r="BU20" s="72">
        <f>((BR20*($C$5-'TMTF3 no comps'!$N$4)*($J$6))/1000)</f>
        <v>0</v>
      </c>
      <c r="BV20" s="72">
        <f>IF(BP20=0,0,VLOOKUP(BP20,'TMTF3 no comps'!$G$42:$I$51,3,FALSE)+BS20)</f>
        <v>0</v>
      </c>
      <c r="BW20" s="72">
        <f>IF(BQ20=0,0,VLOOKUP(BQ20,'TMTF3 no comps'!$G$42:$I$51,3,FALSE)+BT20)</f>
        <v>0</v>
      </c>
      <c r="BX20" s="72">
        <f>IF(BR20=0,0,VLOOKUP(BR20,'TMTF3 no comps'!$G$42:$I$51,3,FALSE)+BU20)</f>
        <v>0</v>
      </c>
      <c r="CB20" s="103" t="str">
        <f t="shared" si="41"/>
        <v/>
      </c>
    </row>
    <row r="21" spans="1:80" x14ac:dyDescent="0.25">
      <c r="A21" s="92" t="s">
        <v>16</v>
      </c>
      <c r="B21" s="110">
        <v>1</v>
      </c>
      <c r="C21" s="92"/>
      <c r="D21" s="111" t="s">
        <v>1</v>
      </c>
      <c r="E21" s="93"/>
      <c r="F21" s="107" t="str">
        <f>IFERROR(MROUND((HLOOKUP(D21,$AM$8:AP21,ROW(D21)-7,FALSE)),HLOOKUP(D21,$D$1:$G$2,2,FALSE)),"")</f>
        <v/>
      </c>
      <c r="G21" s="107" t="str">
        <f t="shared" si="50"/>
        <v/>
      </c>
      <c r="H21" s="94" t="str">
        <f t="shared" si="29"/>
        <v>± 0.024 in</v>
      </c>
      <c r="I21" s="114" t="str">
        <f t="shared" si="0"/>
        <v>0.014 in</v>
      </c>
      <c r="J21" s="92"/>
      <c r="K21" s="92"/>
      <c r="L21" s="92"/>
      <c r="M21" s="72">
        <f t="shared" si="42"/>
        <v>0</v>
      </c>
      <c r="N21" s="72">
        <f t="shared" si="30"/>
        <v>0</v>
      </c>
      <c r="O21" s="72">
        <f t="shared" si="31"/>
        <v>0</v>
      </c>
      <c r="P21" s="95">
        <f t="shared" si="2"/>
        <v>0</v>
      </c>
      <c r="Q21" s="95">
        <f t="shared" si="3"/>
        <v>0</v>
      </c>
      <c r="R21" s="95">
        <f t="shared" si="4"/>
        <v>0</v>
      </c>
      <c r="S21" s="96">
        <f t="shared" si="43"/>
        <v>0</v>
      </c>
      <c r="T21" s="96">
        <f t="shared" si="5"/>
        <v>0</v>
      </c>
      <c r="U21" s="96">
        <f t="shared" si="5"/>
        <v>0</v>
      </c>
      <c r="V21" s="95">
        <f>S21*($D$4-'TMTF3 no comps'!$M$3)*calculator!$I$6</f>
        <v>0</v>
      </c>
      <c r="W21" s="95">
        <f>T21*($D$4-'TMTF3 no comps'!$M$3)*calculator!$I$6</f>
        <v>0</v>
      </c>
      <c r="X21" s="95">
        <f>U21*($D$4-'TMTF3 no comps'!$M$3)*calculator!$I$6</f>
        <v>0</v>
      </c>
      <c r="Y21" s="95">
        <f>IF(S21=0,0,VLOOKUP(S21,'TMTF3 no comps'!$B$42:$D$242,3,FALSE)+V21)</f>
        <v>0</v>
      </c>
      <c r="Z21" s="95">
        <f>IF(T21=0,0,VLOOKUP(T21,'TMTF3 no comps'!$B$42:$D$242,3,FALSE)+W21)</f>
        <v>0</v>
      </c>
      <c r="AA21" s="97">
        <f>IF(U21=0,0,VLOOKUP(U21,'TMTF3 no comps'!$B$42:$D$242,3,FALSE)+X21)</f>
        <v>0</v>
      </c>
      <c r="AB21" s="79">
        <f>MROUND(HLOOKUP(D21,$BD$8:BH21,BI21,FALSE),IF(OR(D21="ft",D21="m"),$D$2,$E$2))</f>
        <v>2.4E-2</v>
      </c>
      <c r="AC21" s="98">
        <f t="shared" si="44"/>
        <v>0</v>
      </c>
      <c r="AD21" s="79">
        <f t="shared" si="6"/>
        <v>0</v>
      </c>
      <c r="AE21" s="97">
        <f t="shared" si="45"/>
        <v>0</v>
      </c>
      <c r="AF21" s="97">
        <f>$AC21*($D$4-'TMTF3 no comps'!$M$3)*calculator!$I$6</f>
        <v>0</v>
      </c>
      <c r="AG21" s="97" t="e">
        <f>VLOOKUP(AC21,'TMTF3 no comps'!$B$42:$D$72,3,FALSE)+AF21</f>
        <v>#N/A</v>
      </c>
      <c r="AH21" s="97" t="e">
        <f t="shared" si="46"/>
        <v>#N/A</v>
      </c>
      <c r="AI21" s="97">
        <f t="shared" si="8"/>
        <v>0</v>
      </c>
      <c r="AJ21" s="97">
        <f t="shared" si="47"/>
        <v>0</v>
      </c>
      <c r="AK21" s="79">
        <f t="shared" si="48"/>
        <v>0</v>
      </c>
      <c r="AL21" s="99">
        <f t="shared" si="32"/>
        <v>2.3599999999999999E-2</v>
      </c>
      <c r="AM21" s="100" t="e">
        <f t="shared" si="9"/>
        <v>#N/A</v>
      </c>
      <c r="AN21" s="79" t="e">
        <f t="shared" si="49"/>
        <v>#N/A</v>
      </c>
      <c r="AO21" s="100" t="e">
        <f t="shared" si="33"/>
        <v>#VALUE!</v>
      </c>
      <c r="AP21" s="78" t="e">
        <f t="shared" si="34"/>
        <v>#VALUE!</v>
      </c>
      <c r="AQ21" s="79">
        <f t="shared" si="35"/>
        <v>2.214E-2</v>
      </c>
      <c r="AR21" s="79">
        <f t="shared" si="36"/>
        <v>1.2300000000000001E-5</v>
      </c>
      <c r="AS21" s="79">
        <f t="shared" si="10"/>
        <v>1.4E-2</v>
      </c>
      <c r="AT21" s="79" t="str">
        <f t="shared" si="11"/>
        <v>in</v>
      </c>
      <c r="AU21" s="79">
        <f t="shared" si="37"/>
        <v>1.4E-2</v>
      </c>
      <c r="AV21" s="98" t="e">
        <f t="shared" si="12"/>
        <v>#VALUE!</v>
      </c>
      <c r="AW21" s="73" t="str">
        <f t="shared" si="13"/>
        <v/>
      </c>
      <c r="AX21" s="73" t="e">
        <f t="shared" si="14"/>
        <v>#VALUE!</v>
      </c>
      <c r="AY21" s="73" t="e">
        <f>(($AV21*($C$5-'TMTF3 no comps'!$N$4)*($J$6))/1000)</f>
        <v>#VALUE!</v>
      </c>
      <c r="AZ21" s="95" t="e">
        <f>VLOOKUP(AV21,'TMTF3 no comps'!$G$42:$I$51,3,FALSE)+AY21</f>
        <v>#VALUE!</v>
      </c>
      <c r="BA21" s="95" t="e">
        <f t="shared" si="38"/>
        <v>#VALUE!</v>
      </c>
      <c r="BB21" s="72" t="e">
        <f t="shared" si="15"/>
        <v>#VALUE!</v>
      </c>
      <c r="BC21" s="101" t="e">
        <f t="shared" si="16"/>
        <v>#VALUE!</v>
      </c>
      <c r="BD21" s="73" t="e">
        <f t="shared" si="39"/>
        <v>#VALUE!</v>
      </c>
      <c r="BE21" s="73" t="e">
        <f t="shared" si="17"/>
        <v>#VALUE!</v>
      </c>
      <c r="BF21" s="73" t="e">
        <f t="shared" si="18"/>
        <v>#VALUE!</v>
      </c>
      <c r="BG21" s="73">
        <f t="shared" si="19"/>
        <v>1.97E-3</v>
      </c>
      <c r="BH21" s="102">
        <f t="shared" si="40"/>
        <v>2.3599999999999999E-2</v>
      </c>
      <c r="BI21" s="72">
        <v>14</v>
      </c>
      <c r="BJ21" s="72">
        <f t="shared" si="20"/>
        <v>0</v>
      </c>
      <c r="BK21" s="72">
        <f t="shared" si="21"/>
        <v>0</v>
      </c>
      <c r="BL21" s="72">
        <f t="shared" si="22"/>
        <v>0</v>
      </c>
      <c r="BM21" s="72">
        <f t="shared" si="23"/>
        <v>0</v>
      </c>
      <c r="BN21" s="72">
        <f t="shared" si="24"/>
        <v>0</v>
      </c>
      <c r="BO21" s="72">
        <f t="shared" si="25"/>
        <v>0</v>
      </c>
      <c r="BP21" s="72">
        <f t="shared" si="26"/>
        <v>0</v>
      </c>
      <c r="BQ21" s="72">
        <f t="shared" si="27"/>
        <v>0</v>
      </c>
      <c r="BR21" s="72">
        <f t="shared" si="28"/>
        <v>0</v>
      </c>
      <c r="BS21" s="72">
        <f>((BP21*($C$5-'TMTF3 no comps'!$N$4)*($J$6))/1000)</f>
        <v>0</v>
      </c>
      <c r="BT21" s="72">
        <f>((BQ21*($C$5-'TMTF3 no comps'!$N$4)*($J$6))/1000)</f>
        <v>0</v>
      </c>
      <c r="BU21" s="72">
        <f>((BR21*($C$5-'TMTF3 no comps'!$N$4)*($J$6))/1000)</f>
        <v>0</v>
      </c>
      <c r="BV21" s="72">
        <f>IF(BP21=0,0,VLOOKUP(BP21,'TMTF3 no comps'!$G$42:$I$51,3,FALSE)+BS21)</f>
        <v>0</v>
      </c>
      <c r="BW21" s="72">
        <f>IF(BQ21=0,0,VLOOKUP(BQ21,'TMTF3 no comps'!$G$42:$I$51,3,FALSE)+BT21)</f>
        <v>0</v>
      </c>
      <c r="BX21" s="72">
        <f>IF(BR21=0,0,VLOOKUP(BR21,'TMTF3 no comps'!$G$42:$I$51,3,FALSE)+BU21)</f>
        <v>0</v>
      </c>
      <c r="CB21" s="103" t="str">
        <f t="shared" si="41"/>
        <v/>
      </c>
    </row>
    <row r="22" spans="1:80" x14ac:dyDescent="0.25">
      <c r="A22" s="92" t="s">
        <v>16</v>
      </c>
      <c r="B22" s="110">
        <v>1</v>
      </c>
      <c r="C22" s="92"/>
      <c r="D22" s="111" t="s">
        <v>1</v>
      </c>
      <c r="E22" s="93"/>
      <c r="F22" s="107" t="str">
        <f>IFERROR(MROUND((HLOOKUP(D22,$AM$8:AP22,ROW(D22)-7,FALSE)),HLOOKUP(D22,$D$1:$G$2,2,FALSE)),"")</f>
        <v/>
      </c>
      <c r="G22" s="107" t="str">
        <f t="shared" si="50"/>
        <v/>
      </c>
      <c r="H22" s="94" t="str">
        <f t="shared" si="29"/>
        <v>± 0.024 in</v>
      </c>
      <c r="I22" s="114" t="str">
        <f t="shared" si="0"/>
        <v>0.014 in</v>
      </c>
      <c r="J22" s="92"/>
      <c r="K22" s="92"/>
      <c r="L22" s="92"/>
      <c r="M22" s="72">
        <f t="shared" si="42"/>
        <v>0</v>
      </c>
      <c r="N22" s="72">
        <f t="shared" si="30"/>
        <v>0</v>
      </c>
      <c r="O22" s="72">
        <f t="shared" si="31"/>
        <v>0</v>
      </c>
      <c r="P22" s="95">
        <f t="shared" si="2"/>
        <v>0</v>
      </c>
      <c r="Q22" s="95">
        <f t="shared" si="3"/>
        <v>0</v>
      </c>
      <c r="R22" s="95">
        <f t="shared" si="4"/>
        <v>0</v>
      </c>
      <c r="S22" s="96">
        <f t="shared" si="43"/>
        <v>0</v>
      </c>
      <c r="T22" s="96">
        <f t="shared" si="5"/>
        <v>0</v>
      </c>
      <c r="U22" s="96">
        <f t="shared" si="5"/>
        <v>0</v>
      </c>
      <c r="V22" s="95">
        <f>S22*($D$4-'TMTF3 no comps'!$M$3)*calculator!$I$6</f>
        <v>0</v>
      </c>
      <c r="W22" s="95">
        <f>T22*($D$4-'TMTF3 no comps'!$M$3)*calculator!$I$6</f>
        <v>0</v>
      </c>
      <c r="X22" s="95">
        <f>U22*($D$4-'TMTF3 no comps'!$M$3)*calculator!$I$6</f>
        <v>0</v>
      </c>
      <c r="Y22" s="95">
        <f>IF(S22=0,0,VLOOKUP(S22,'TMTF3 no comps'!$B$42:$D$242,3,FALSE)+V22)</f>
        <v>0</v>
      </c>
      <c r="Z22" s="95">
        <f>IF(T22=0,0,VLOOKUP(T22,'TMTF3 no comps'!$B$42:$D$242,3,FALSE)+W22)</f>
        <v>0</v>
      </c>
      <c r="AA22" s="97">
        <f>IF(U22=0,0,VLOOKUP(U22,'TMTF3 no comps'!$B$42:$D$242,3,FALSE)+X22)</f>
        <v>0</v>
      </c>
      <c r="AB22" s="79">
        <f>MROUND(HLOOKUP(D22,$BD$8:BH22,BI22,FALSE),IF(OR(D22="ft",D22="m"),$D$2,$E$2))</f>
        <v>2.4E-2</v>
      </c>
      <c r="AC22" s="98">
        <f t="shared" si="44"/>
        <v>0</v>
      </c>
      <c r="AD22" s="79">
        <f t="shared" si="6"/>
        <v>0</v>
      </c>
      <c r="AE22" s="97">
        <f t="shared" si="45"/>
        <v>0</v>
      </c>
      <c r="AF22" s="97">
        <f>$AC22*($D$4-'TMTF3 no comps'!$M$3)*calculator!$I$6</f>
        <v>0</v>
      </c>
      <c r="AG22" s="97" t="e">
        <f>VLOOKUP(AC22,'TMTF3 no comps'!$B$42:$D$72,3,FALSE)+AF22</f>
        <v>#N/A</v>
      </c>
      <c r="AH22" s="97" t="e">
        <f t="shared" si="46"/>
        <v>#N/A</v>
      </c>
      <c r="AI22" s="97">
        <f t="shared" si="8"/>
        <v>0</v>
      </c>
      <c r="AJ22" s="97">
        <f t="shared" si="47"/>
        <v>0</v>
      </c>
      <c r="AK22" s="79">
        <f t="shared" si="48"/>
        <v>0</v>
      </c>
      <c r="AL22" s="99">
        <f t="shared" si="32"/>
        <v>2.3599999999999999E-2</v>
      </c>
      <c r="AM22" s="100" t="e">
        <f>AI22-AD22+AH22</f>
        <v>#N/A</v>
      </c>
      <c r="AN22" s="79" t="e">
        <f t="shared" si="49"/>
        <v>#N/A</v>
      </c>
      <c r="AO22" s="100" t="e">
        <f t="shared" si="33"/>
        <v>#VALUE!</v>
      </c>
      <c r="AP22" s="78" t="e">
        <f t="shared" si="34"/>
        <v>#VALUE!</v>
      </c>
      <c r="AQ22" s="79">
        <f t="shared" si="35"/>
        <v>2.214E-2</v>
      </c>
      <c r="AR22" s="79">
        <f t="shared" si="36"/>
        <v>1.2300000000000001E-5</v>
      </c>
      <c r="AS22" s="79">
        <f t="shared" si="10"/>
        <v>1.4E-2</v>
      </c>
      <c r="AT22" s="79" t="str">
        <f t="shared" si="11"/>
        <v>in</v>
      </c>
      <c r="AU22" s="79">
        <f t="shared" si="37"/>
        <v>1.4E-2</v>
      </c>
      <c r="AV22" s="98" t="e">
        <f>AW22-BP22-BQ22-BR22</f>
        <v>#VALUE!</v>
      </c>
      <c r="AW22" s="73" t="str">
        <f t="shared" si="13"/>
        <v/>
      </c>
      <c r="AX22" s="73" t="e">
        <f t="shared" si="14"/>
        <v>#VALUE!</v>
      </c>
      <c r="AY22" s="73" t="e">
        <f>(($AV22*($C$5-'TMTF3 no comps'!$N$4)*($J$6))/1000)</f>
        <v>#VALUE!</v>
      </c>
      <c r="AZ22" s="95" t="e">
        <f>VLOOKUP(AV22,'TMTF3 no comps'!$G$42:$I$51,3,FALSE)+AY22</f>
        <v>#VALUE!</v>
      </c>
      <c r="BA22" s="95" t="e">
        <f t="shared" si="38"/>
        <v>#VALUE!</v>
      </c>
      <c r="BB22" s="72" t="e">
        <f t="shared" si="15"/>
        <v>#VALUE!</v>
      </c>
      <c r="BC22" s="101" t="e">
        <f t="shared" si="16"/>
        <v>#VALUE!</v>
      </c>
      <c r="BD22" s="73" t="e">
        <f t="shared" si="39"/>
        <v>#VALUE!</v>
      </c>
      <c r="BE22" s="73" t="e">
        <f t="shared" si="17"/>
        <v>#VALUE!</v>
      </c>
      <c r="BF22" s="73" t="e">
        <f t="shared" si="18"/>
        <v>#VALUE!</v>
      </c>
      <c r="BG22" s="73">
        <f t="shared" si="19"/>
        <v>1.97E-3</v>
      </c>
      <c r="BH22" s="102">
        <f t="shared" si="40"/>
        <v>2.3599999999999999E-2</v>
      </c>
      <c r="BI22" s="72">
        <v>15</v>
      </c>
      <c r="BJ22" s="72">
        <f t="shared" si="20"/>
        <v>0</v>
      </c>
      <c r="BK22" s="72">
        <f t="shared" si="21"/>
        <v>0</v>
      </c>
      <c r="BL22" s="72">
        <f t="shared" si="22"/>
        <v>0</v>
      </c>
      <c r="BM22" s="72">
        <f t="shared" si="23"/>
        <v>0</v>
      </c>
      <c r="BN22" s="72">
        <f t="shared" si="24"/>
        <v>0</v>
      </c>
      <c r="BO22" s="72">
        <f t="shared" si="25"/>
        <v>0</v>
      </c>
      <c r="BP22" s="72">
        <f t="shared" si="26"/>
        <v>0</v>
      </c>
      <c r="BQ22" s="72">
        <f t="shared" si="27"/>
        <v>0</v>
      </c>
      <c r="BR22" s="72">
        <f t="shared" si="28"/>
        <v>0</v>
      </c>
      <c r="BS22" s="72">
        <f>((BP22*($C$5-'TMTF3 no comps'!$N$4)*($J$6))/1000)</f>
        <v>0</v>
      </c>
      <c r="BT22" s="72">
        <f>((BQ22*($C$5-'TMTF3 no comps'!$N$4)*($J$6))/1000)</f>
        <v>0</v>
      </c>
      <c r="BU22" s="72">
        <f>((BR22*($C$5-'TMTF3 no comps'!$N$4)*($J$6))/1000)</f>
        <v>0</v>
      </c>
      <c r="BV22" s="72">
        <f>IF(BP22=0,0,VLOOKUP(BP22,'TMTF3 no comps'!$G$42:$I$51,3,FALSE)+BS22)</f>
        <v>0</v>
      </c>
      <c r="BW22" s="72">
        <f>IF(BQ22=0,0,VLOOKUP(BQ22,'TMTF3 no comps'!$G$42:$I$51,3,FALSE)+BT22)</f>
        <v>0</v>
      </c>
      <c r="BX22" s="72">
        <f>IF(BR22=0,0,VLOOKUP(BR22,'TMTF3 no comps'!$G$42:$I$51,3,FALSE)+BU22)</f>
        <v>0</v>
      </c>
      <c r="CB22" s="103" t="str">
        <f t="shared" si="41"/>
        <v/>
      </c>
    </row>
    <row r="23" spans="1:80" x14ac:dyDescent="0.25">
      <c r="A23" s="92" t="s">
        <v>16</v>
      </c>
      <c r="B23" s="110">
        <v>1</v>
      </c>
      <c r="C23" s="92"/>
      <c r="D23" s="111" t="s">
        <v>1</v>
      </c>
      <c r="E23" s="93"/>
      <c r="F23" s="107" t="str">
        <f>IFERROR(MROUND((HLOOKUP(D23,$AM$8:AP23,ROW(D23)-7,FALSE)),HLOOKUP(D23,$D$1:$G$2,2,FALSE)),"")</f>
        <v/>
      </c>
      <c r="G23" s="107" t="str">
        <f t="shared" si="50"/>
        <v/>
      </c>
      <c r="H23" s="94" t="str">
        <f t="shared" si="29"/>
        <v>± 0.024 in</v>
      </c>
      <c r="I23" s="114" t="str">
        <f t="shared" si="0"/>
        <v>0.014 in</v>
      </c>
      <c r="J23" s="92"/>
      <c r="K23" s="92"/>
      <c r="L23" s="92"/>
      <c r="M23" s="72">
        <f t="shared" si="42"/>
        <v>0</v>
      </c>
      <c r="N23" s="72">
        <f t="shared" si="30"/>
        <v>0</v>
      </c>
      <c r="O23" s="72">
        <f t="shared" si="31"/>
        <v>0</v>
      </c>
      <c r="P23" s="95">
        <f t="shared" si="2"/>
        <v>0</v>
      </c>
      <c r="Q23" s="95">
        <f t="shared" si="3"/>
        <v>0</v>
      </c>
      <c r="R23" s="95">
        <f t="shared" si="4"/>
        <v>0</v>
      </c>
      <c r="S23" s="96">
        <f t="shared" si="43"/>
        <v>0</v>
      </c>
      <c r="T23" s="96">
        <f t="shared" si="5"/>
        <v>0</v>
      </c>
      <c r="U23" s="96">
        <f t="shared" si="5"/>
        <v>0</v>
      </c>
      <c r="V23" s="95">
        <f>S23*($D$4-'TMTF3 no comps'!$M$3)*calculator!$I$6</f>
        <v>0</v>
      </c>
      <c r="W23" s="95">
        <f>T23*($D$4-'TMTF3 no comps'!$M$3)*calculator!$I$6</f>
        <v>0</v>
      </c>
      <c r="X23" s="95">
        <f>U23*($D$4-'TMTF3 no comps'!$M$3)*calculator!$I$6</f>
        <v>0</v>
      </c>
      <c r="Y23" s="95">
        <f>IF(S23=0,0,VLOOKUP(S23,'TMTF3 no comps'!$B$42:$D$242,3,FALSE)+V23)</f>
        <v>0</v>
      </c>
      <c r="Z23" s="95">
        <f>IF(T23=0,0,VLOOKUP(T23,'TMTF3 no comps'!$B$42:$D$242,3,FALSE)+W23)</f>
        <v>0</v>
      </c>
      <c r="AA23" s="97">
        <f>IF(U23=0,0,VLOOKUP(U23,'TMTF3 no comps'!$B$42:$D$242,3,FALSE)+X23)</f>
        <v>0</v>
      </c>
      <c r="AB23" s="79">
        <f>MROUND(HLOOKUP(D23,$BD$8:BH23,BI23,FALSE),IF(OR(D23="ft",D23="m"),$D$2,$E$2))</f>
        <v>2.4E-2</v>
      </c>
      <c r="AC23" s="98">
        <f t="shared" si="44"/>
        <v>0</v>
      </c>
      <c r="AD23" s="79">
        <f t="shared" si="6"/>
        <v>0</v>
      </c>
      <c r="AE23" s="97">
        <f t="shared" si="45"/>
        <v>0</v>
      </c>
      <c r="AF23" s="97">
        <f>$AC23*($D$4-'TMTF3 no comps'!$M$3)*calculator!$I$6</f>
        <v>0</v>
      </c>
      <c r="AG23" s="97" t="e">
        <f>VLOOKUP(AC23,'TMTF3 no comps'!$B$42:$D$72,3,FALSE)+AF23</f>
        <v>#N/A</v>
      </c>
      <c r="AH23" s="97" t="e">
        <f t="shared" si="46"/>
        <v>#N/A</v>
      </c>
      <c r="AI23" s="97">
        <f t="shared" si="8"/>
        <v>0</v>
      </c>
      <c r="AJ23" s="97">
        <f t="shared" si="47"/>
        <v>0</v>
      </c>
      <c r="AK23" s="79">
        <f t="shared" si="48"/>
        <v>0</v>
      </c>
      <c r="AL23" s="99">
        <f t="shared" si="32"/>
        <v>2.3599999999999999E-2</v>
      </c>
      <c r="AM23" s="100" t="e">
        <f t="shared" ref="AM23:AM32" si="51">AI23-AD23+AH23</f>
        <v>#N/A</v>
      </c>
      <c r="AN23" s="79" t="e">
        <f t="shared" si="49"/>
        <v>#N/A</v>
      </c>
      <c r="AO23" s="100" t="e">
        <f t="shared" si="33"/>
        <v>#VALUE!</v>
      </c>
      <c r="AP23" s="78" t="e">
        <f t="shared" si="34"/>
        <v>#VALUE!</v>
      </c>
      <c r="AQ23" s="79">
        <f t="shared" si="35"/>
        <v>2.214E-2</v>
      </c>
      <c r="AR23" s="79">
        <f t="shared" si="36"/>
        <v>1.2300000000000001E-5</v>
      </c>
      <c r="AS23" s="79">
        <f t="shared" si="10"/>
        <v>1.4E-2</v>
      </c>
      <c r="AT23" s="79" t="str">
        <f t="shared" si="11"/>
        <v>in</v>
      </c>
      <c r="AU23" s="79">
        <f t="shared" si="37"/>
        <v>1.4E-2</v>
      </c>
      <c r="AV23" s="98" t="e">
        <f t="shared" si="12"/>
        <v>#VALUE!</v>
      </c>
      <c r="AW23" s="73" t="str">
        <f t="shared" si="13"/>
        <v/>
      </c>
      <c r="AX23" s="73" t="e">
        <f t="shared" si="14"/>
        <v>#VALUE!</v>
      </c>
      <c r="AY23" s="73" t="e">
        <f>(($AV23*($C$5-'TMTF3 no comps'!$N$4)*($J$6))/1000)</f>
        <v>#VALUE!</v>
      </c>
      <c r="AZ23" s="95" t="e">
        <f>VLOOKUP(AV23,'TMTF3 no comps'!$G$42:$I$51,3,FALSE)+AY23</f>
        <v>#VALUE!</v>
      </c>
      <c r="BA23" s="95" t="e">
        <f t="shared" si="38"/>
        <v>#VALUE!</v>
      </c>
      <c r="BB23" s="72" t="e">
        <f t="shared" si="15"/>
        <v>#VALUE!</v>
      </c>
      <c r="BC23" s="101" t="e">
        <f t="shared" si="16"/>
        <v>#VALUE!</v>
      </c>
      <c r="BD23" s="73" t="e">
        <f t="shared" si="39"/>
        <v>#VALUE!</v>
      </c>
      <c r="BE23" s="73" t="e">
        <f t="shared" si="17"/>
        <v>#VALUE!</v>
      </c>
      <c r="BF23" s="73" t="e">
        <f t="shared" si="18"/>
        <v>#VALUE!</v>
      </c>
      <c r="BG23" s="73">
        <f t="shared" si="19"/>
        <v>1.97E-3</v>
      </c>
      <c r="BH23" s="102">
        <f t="shared" si="40"/>
        <v>2.3599999999999999E-2</v>
      </c>
      <c r="BI23" s="72">
        <v>16</v>
      </c>
      <c r="BJ23" s="72">
        <f t="shared" si="20"/>
        <v>0</v>
      </c>
      <c r="BK23" s="72">
        <f t="shared" si="21"/>
        <v>0</v>
      </c>
      <c r="BL23" s="72">
        <f t="shared" si="22"/>
        <v>0</v>
      </c>
      <c r="BM23" s="72">
        <f t="shared" si="23"/>
        <v>0</v>
      </c>
      <c r="BN23" s="72">
        <f t="shared" si="24"/>
        <v>0</v>
      </c>
      <c r="BO23" s="72">
        <f t="shared" si="25"/>
        <v>0</v>
      </c>
      <c r="BP23" s="72">
        <f t="shared" si="26"/>
        <v>0</v>
      </c>
      <c r="BQ23" s="72">
        <f t="shared" si="27"/>
        <v>0</v>
      </c>
      <c r="BR23" s="72">
        <f t="shared" si="28"/>
        <v>0</v>
      </c>
      <c r="BS23" s="72">
        <f>((BP23*($C$5-'TMTF3 no comps'!$N$4)*($J$6))/1000)</f>
        <v>0</v>
      </c>
      <c r="BT23" s="72">
        <f>((BQ23*($C$5-'TMTF3 no comps'!$N$4)*($J$6))/1000)</f>
        <v>0</v>
      </c>
      <c r="BU23" s="72">
        <f>((BR23*($C$5-'TMTF3 no comps'!$N$4)*($J$6))/1000)</f>
        <v>0</v>
      </c>
      <c r="BV23" s="72">
        <f>IF(BP23=0,0,VLOOKUP(BP23,'TMTF3 no comps'!$G$42:$I$51,3,FALSE)+BS23)</f>
        <v>0</v>
      </c>
      <c r="BW23" s="72">
        <f>IF(BQ23=0,0,VLOOKUP(BQ23,'TMTF3 no comps'!$G$42:$I$51,3,FALSE)+BT23)</f>
        <v>0</v>
      </c>
      <c r="BX23" s="72">
        <f>IF(BR23=0,0,VLOOKUP(BR23,'TMTF3 no comps'!$G$42:$I$51,3,FALSE)+BU23)</f>
        <v>0</v>
      </c>
      <c r="CB23" s="103" t="str">
        <f t="shared" si="41"/>
        <v/>
      </c>
    </row>
    <row r="24" spans="1:80" x14ac:dyDescent="0.25">
      <c r="A24" s="92" t="s">
        <v>16</v>
      </c>
      <c r="B24" s="110">
        <v>1</v>
      </c>
      <c r="C24" s="92"/>
      <c r="D24" s="111" t="s">
        <v>1</v>
      </c>
      <c r="E24" s="93"/>
      <c r="F24" s="107" t="str">
        <f>IFERROR(MROUND((HLOOKUP(D24,$AM$8:AP24,ROW(D24)-7,FALSE)),HLOOKUP(D24,$D$1:$G$2,2,FALSE)),"")</f>
        <v/>
      </c>
      <c r="G24" s="107" t="str">
        <f t="shared" si="50"/>
        <v/>
      </c>
      <c r="H24" s="94" t="str">
        <f t="shared" si="29"/>
        <v>± 0.024 in</v>
      </c>
      <c r="I24" s="114" t="str">
        <f t="shared" si="0"/>
        <v>0.014 in</v>
      </c>
      <c r="J24" s="92"/>
      <c r="K24" s="92"/>
      <c r="L24" s="92"/>
      <c r="M24" s="72">
        <f t="shared" si="42"/>
        <v>0</v>
      </c>
      <c r="N24" s="72">
        <f t="shared" si="30"/>
        <v>0</v>
      </c>
      <c r="O24" s="72">
        <f t="shared" si="31"/>
        <v>0</v>
      </c>
      <c r="P24" s="95">
        <f t="shared" si="2"/>
        <v>0</v>
      </c>
      <c r="Q24" s="95">
        <f t="shared" si="3"/>
        <v>0</v>
      </c>
      <c r="R24" s="95">
        <f t="shared" si="4"/>
        <v>0</v>
      </c>
      <c r="S24" s="96">
        <f t="shared" si="43"/>
        <v>0</v>
      </c>
      <c r="T24" s="96">
        <f t="shared" si="5"/>
        <v>0</v>
      </c>
      <c r="U24" s="96">
        <f t="shared" si="5"/>
        <v>0</v>
      </c>
      <c r="V24" s="95">
        <f>S24*($D$4-'TMTF3 no comps'!$M$3)*calculator!$I$6</f>
        <v>0</v>
      </c>
      <c r="W24" s="95">
        <f>T24*($D$4-'TMTF3 no comps'!$M$3)*calculator!$I$6</f>
        <v>0</v>
      </c>
      <c r="X24" s="95">
        <f>U24*($D$4-'TMTF3 no comps'!$M$3)*calculator!$I$6</f>
        <v>0</v>
      </c>
      <c r="Y24" s="95">
        <f>IF(S24=0,0,VLOOKUP(S24,'TMTF3 no comps'!$B$42:$D$242,3,FALSE)+V24)</f>
        <v>0</v>
      </c>
      <c r="Z24" s="95">
        <f>IF(T24=0,0,VLOOKUP(T24,'TMTF3 no comps'!$B$42:$D$242,3,FALSE)+W24)</f>
        <v>0</v>
      </c>
      <c r="AA24" s="97">
        <f>IF(U24=0,0,VLOOKUP(U24,'TMTF3 no comps'!$B$42:$D$242,3,FALSE)+X24)</f>
        <v>0</v>
      </c>
      <c r="AB24" s="79">
        <f>MROUND(HLOOKUP(D24,$BD$8:BH24,BI24,FALSE),IF(OR(D24="ft",D24="m"),$D$2,$E$2))</f>
        <v>2.4E-2</v>
      </c>
      <c r="AC24" s="98">
        <f t="shared" si="44"/>
        <v>0</v>
      </c>
      <c r="AD24" s="79">
        <f t="shared" si="6"/>
        <v>0</v>
      </c>
      <c r="AE24" s="97">
        <f t="shared" si="45"/>
        <v>0</v>
      </c>
      <c r="AF24" s="97">
        <f>$AC24*($D$4-'TMTF3 no comps'!$M$3)*calculator!$I$6</f>
        <v>0</v>
      </c>
      <c r="AG24" s="97" t="e">
        <f>VLOOKUP(AC24,'TMTF3 no comps'!$B$42:$D$72,3,FALSE)+AF24</f>
        <v>#N/A</v>
      </c>
      <c r="AH24" s="97" t="e">
        <f t="shared" si="46"/>
        <v>#N/A</v>
      </c>
      <c r="AI24" s="97">
        <f t="shared" si="8"/>
        <v>0</v>
      </c>
      <c r="AJ24" s="97">
        <f t="shared" si="47"/>
        <v>0</v>
      </c>
      <c r="AK24" s="79">
        <f t="shared" si="48"/>
        <v>0</v>
      </c>
      <c r="AL24" s="99">
        <f t="shared" si="32"/>
        <v>2.3599999999999999E-2</v>
      </c>
      <c r="AM24" s="100" t="e">
        <f t="shared" si="51"/>
        <v>#N/A</v>
      </c>
      <c r="AN24" s="79" t="e">
        <f t="shared" si="49"/>
        <v>#N/A</v>
      </c>
      <c r="AO24" s="100" t="e">
        <f t="shared" si="33"/>
        <v>#VALUE!</v>
      </c>
      <c r="AP24" s="78" t="e">
        <f t="shared" si="34"/>
        <v>#VALUE!</v>
      </c>
      <c r="AQ24" s="79">
        <f t="shared" si="35"/>
        <v>2.214E-2</v>
      </c>
      <c r="AR24" s="79">
        <f t="shared" si="36"/>
        <v>1.2300000000000001E-5</v>
      </c>
      <c r="AS24" s="79">
        <f t="shared" si="10"/>
        <v>1.4E-2</v>
      </c>
      <c r="AT24" s="79" t="str">
        <f t="shared" si="11"/>
        <v>in</v>
      </c>
      <c r="AU24" s="79">
        <f t="shared" si="37"/>
        <v>1.4E-2</v>
      </c>
      <c r="AV24" s="98" t="e">
        <f t="shared" si="12"/>
        <v>#VALUE!</v>
      </c>
      <c r="AW24" s="73" t="str">
        <f t="shared" si="13"/>
        <v/>
      </c>
      <c r="AX24" s="73" t="e">
        <f t="shared" si="14"/>
        <v>#VALUE!</v>
      </c>
      <c r="AY24" s="73" t="e">
        <f>(($AV24*($C$5-'TMTF3 no comps'!$N$4)*($J$6))/1000)</f>
        <v>#VALUE!</v>
      </c>
      <c r="AZ24" s="95" t="e">
        <f>VLOOKUP(AV24,'TMTF3 no comps'!$G$42:$I$51,3,FALSE)+AY24</f>
        <v>#VALUE!</v>
      </c>
      <c r="BA24" s="95" t="e">
        <f t="shared" si="38"/>
        <v>#VALUE!</v>
      </c>
      <c r="BB24" s="72" t="e">
        <f t="shared" si="15"/>
        <v>#VALUE!</v>
      </c>
      <c r="BC24" s="101" t="e">
        <f t="shared" si="16"/>
        <v>#VALUE!</v>
      </c>
      <c r="BD24" s="73" t="e">
        <f t="shared" si="39"/>
        <v>#VALUE!</v>
      </c>
      <c r="BE24" s="73" t="e">
        <f t="shared" si="17"/>
        <v>#VALUE!</v>
      </c>
      <c r="BF24" s="73" t="e">
        <f t="shared" si="18"/>
        <v>#VALUE!</v>
      </c>
      <c r="BG24" s="73">
        <f t="shared" si="19"/>
        <v>1.97E-3</v>
      </c>
      <c r="BH24" s="102">
        <f t="shared" si="40"/>
        <v>2.3599999999999999E-2</v>
      </c>
      <c r="BI24" s="72">
        <v>17</v>
      </c>
      <c r="BJ24" s="72">
        <f t="shared" si="20"/>
        <v>0</v>
      </c>
      <c r="BK24" s="72">
        <f t="shared" si="21"/>
        <v>0</v>
      </c>
      <c r="BL24" s="72">
        <f t="shared" si="22"/>
        <v>0</v>
      </c>
      <c r="BM24" s="72">
        <f t="shared" si="23"/>
        <v>0</v>
      </c>
      <c r="BN24" s="72">
        <f t="shared" si="24"/>
        <v>0</v>
      </c>
      <c r="BO24" s="72">
        <f t="shared" si="25"/>
        <v>0</v>
      </c>
      <c r="BP24" s="72">
        <f t="shared" si="26"/>
        <v>0</v>
      </c>
      <c r="BQ24" s="72">
        <f t="shared" si="27"/>
        <v>0</v>
      </c>
      <c r="BR24" s="72">
        <f t="shared" si="28"/>
        <v>0</v>
      </c>
      <c r="BS24" s="72">
        <f>((BP24*($C$5-'TMTF3 no comps'!$N$4)*($J$6))/1000)</f>
        <v>0</v>
      </c>
      <c r="BT24" s="72">
        <f>((BQ24*($C$5-'TMTF3 no comps'!$N$4)*($J$6))/1000)</f>
        <v>0</v>
      </c>
      <c r="BU24" s="72">
        <f>((BR24*($C$5-'TMTF3 no comps'!$N$4)*($J$6))/1000)</f>
        <v>0</v>
      </c>
      <c r="BV24" s="72">
        <f>IF(BP24=0,0,VLOOKUP(BP24,'TMTF3 no comps'!$G$42:$I$51,3,FALSE)+BS24)</f>
        <v>0</v>
      </c>
      <c r="BW24" s="72">
        <f>IF(BQ24=0,0,VLOOKUP(BQ24,'TMTF3 no comps'!$G$42:$I$51,3,FALSE)+BT24)</f>
        <v>0</v>
      </c>
      <c r="BX24" s="72">
        <f>IF(BR24=0,0,VLOOKUP(BR24,'TMTF3 no comps'!$G$42:$I$51,3,FALSE)+BU24)</f>
        <v>0</v>
      </c>
      <c r="CB24" s="103" t="str">
        <f t="shared" si="41"/>
        <v/>
      </c>
    </row>
    <row r="25" spans="1:80" x14ac:dyDescent="0.25">
      <c r="A25" s="92" t="s">
        <v>16</v>
      </c>
      <c r="B25" s="110">
        <v>1</v>
      </c>
      <c r="C25" s="92"/>
      <c r="D25" s="111" t="s">
        <v>1</v>
      </c>
      <c r="E25" s="93"/>
      <c r="F25" s="107" t="str">
        <f>IFERROR(MROUND((HLOOKUP(D25,$AM$8:AP25,ROW(D25)-7,FALSE)),HLOOKUP(D25,$D$1:$G$2,2,FALSE)),"")</f>
        <v/>
      </c>
      <c r="G25" s="107" t="str">
        <f t="shared" si="50"/>
        <v/>
      </c>
      <c r="H25" s="94" t="str">
        <f t="shared" si="29"/>
        <v>± 0.024 in</v>
      </c>
      <c r="I25" s="114" t="str">
        <f t="shared" si="0"/>
        <v>0.014 in</v>
      </c>
      <c r="J25" s="92"/>
      <c r="K25" s="92"/>
      <c r="L25" s="92"/>
      <c r="M25" s="72">
        <f t="shared" si="42"/>
        <v>0</v>
      </c>
      <c r="N25" s="72">
        <f t="shared" si="30"/>
        <v>0</v>
      </c>
      <c r="O25" s="72">
        <f t="shared" si="31"/>
        <v>0</v>
      </c>
      <c r="P25" s="95">
        <f t="shared" si="2"/>
        <v>0</v>
      </c>
      <c r="Q25" s="95">
        <f t="shared" si="3"/>
        <v>0</v>
      </c>
      <c r="R25" s="95">
        <f t="shared" si="4"/>
        <v>0</v>
      </c>
      <c r="S25" s="96">
        <f t="shared" si="43"/>
        <v>0</v>
      </c>
      <c r="T25" s="96">
        <f t="shared" ref="T25:T32" si="52">K25*12</f>
        <v>0</v>
      </c>
      <c r="U25" s="96">
        <f t="shared" ref="U25:U32" si="53">L25*12</f>
        <v>0</v>
      </c>
      <c r="V25" s="95">
        <f>S25*($D$4-'TMTF3 no comps'!$M$3)*calculator!$I$6</f>
        <v>0</v>
      </c>
      <c r="W25" s="95">
        <f>T25*($D$4-'TMTF3 no comps'!$M$3)*calculator!$I$6</f>
        <v>0</v>
      </c>
      <c r="X25" s="95">
        <f>U25*($D$4-'TMTF3 no comps'!$M$3)*calculator!$I$6</f>
        <v>0</v>
      </c>
      <c r="Y25" s="95">
        <f>IF(S25=0,0,VLOOKUP(S25,'TMTF3 no comps'!$B$42:$D$242,3,FALSE)+V25)</f>
        <v>0</v>
      </c>
      <c r="Z25" s="95">
        <f>IF(T25=0,0,VLOOKUP(T25,'TMTF3 no comps'!$B$42:$D$242,3,FALSE)+W25)</f>
        <v>0</v>
      </c>
      <c r="AA25" s="97">
        <f>IF(U25=0,0,VLOOKUP(U25,'TMTF3 no comps'!$B$42:$D$242,3,FALSE)+X25)</f>
        <v>0</v>
      </c>
      <c r="AB25" s="79">
        <f>MROUND(HLOOKUP(D25,$BD$8:BH25,BI25,FALSE),IF(OR(D25="ft",D25="m"),$D$2,$E$2))</f>
        <v>2.4E-2</v>
      </c>
      <c r="AC25" s="98">
        <f t="shared" si="44"/>
        <v>0</v>
      </c>
      <c r="AD25" s="79">
        <f t="shared" si="6"/>
        <v>0</v>
      </c>
      <c r="AE25" s="97">
        <f t="shared" si="45"/>
        <v>0</v>
      </c>
      <c r="AF25" s="97">
        <f>$AC25*($D$4-'TMTF3 no comps'!$M$3)*calculator!$I$6</f>
        <v>0</v>
      </c>
      <c r="AG25" s="97" t="e">
        <f>VLOOKUP(AC25,'TMTF3 no comps'!$B$42:$D$72,3,FALSE)+AF25</f>
        <v>#N/A</v>
      </c>
      <c r="AH25" s="97" t="e">
        <f t="shared" si="46"/>
        <v>#N/A</v>
      </c>
      <c r="AI25" s="97">
        <f t="shared" si="8"/>
        <v>0</v>
      </c>
      <c r="AJ25" s="97">
        <f t="shared" si="47"/>
        <v>0</v>
      </c>
      <c r="AK25" s="79">
        <f t="shared" si="48"/>
        <v>0</v>
      </c>
      <c r="AL25" s="99">
        <f t="shared" si="32"/>
        <v>2.3599999999999999E-2</v>
      </c>
      <c r="AM25" s="100" t="e">
        <f t="shared" si="51"/>
        <v>#N/A</v>
      </c>
      <c r="AN25" s="79" t="e">
        <f t="shared" si="49"/>
        <v>#N/A</v>
      </c>
      <c r="AO25" s="100" t="e">
        <f t="shared" si="33"/>
        <v>#VALUE!</v>
      </c>
      <c r="AP25" s="78" t="e">
        <f t="shared" si="34"/>
        <v>#VALUE!</v>
      </c>
      <c r="AQ25" s="79">
        <f t="shared" si="35"/>
        <v>2.214E-2</v>
      </c>
      <c r="AR25" s="79">
        <f t="shared" si="36"/>
        <v>1.2300000000000001E-5</v>
      </c>
      <c r="AS25" s="79">
        <f t="shared" si="10"/>
        <v>1.4E-2</v>
      </c>
      <c r="AT25" s="79" t="str">
        <f t="shared" si="11"/>
        <v>in</v>
      </c>
      <c r="AU25" s="79">
        <f t="shared" si="37"/>
        <v>1.4E-2</v>
      </c>
      <c r="AV25" s="98" t="e">
        <f t="shared" si="12"/>
        <v>#VALUE!</v>
      </c>
      <c r="AW25" s="73" t="str">
        <f t="shared" si="13"/>
        <v/>
      </c>
      <c r="AX25" s="73" t="e">
        <f t="shared" si="14"/>
        <v>#VALUE!</v>
      </c>
      <c r="AY25" s="73" t="e">
        <f>(($AV25*($C$5-'TMTF3 no comps'!$N$4)*($J$6))/1000)</f>
        <v>#VALUE!</v>
      </c>
      <c r="AZ25" s="95" t="e">
        <f>VLOOKUP(AV25,'TMTF3 no comps'!$G$42:$I$51,3,FALSE)+AY25</f>
        <v>#VALUE!</v>
      </c>
      <c r="BA25" s="95" t="e">
        <f t="shared" si="38"/>
        <v>#VALUE!</v>
      </c>
      <c r="BB25" s="72" t="e">
        <f t="shared" si="15"/>
        <v>#VALUE!</v>
      </c>
      <c r="BC25" s="101" t="e">
        <f t="shared" si="16"/>
        <v>#VALUE!</v>
      </c>
      <c r="BD25" s="73" t="e">
        <f t="shared" si="39"/>
        <v>#VALUE!</v>
      </c>
      <c r="BE25" s="73" t="e">
        <f t="shared" si="17"/>
        <v>#VALUE!</v>
      </c>
      <c r="BF25" s="73" t="e">
        <f t="shared" si="18"/>
        <v>#VALUE!</v>
      </c>
      <c r="BG25" s="73">
        <f t="shared" si="19"/>
        <v>1.97E-3</v>
      </c>
      <c r="BH25" s="102">
        <f t="shared" si="40"/>
        <v>2.3599999999999999E-2</v>
      </c>
      <c r="BI25" s="72">
        <v>18</v>
      </c>
      <c r="BJ25" s="72">
        <f t="shared" si="20"/>
        <v>0</v>
      </c>
      <c r="BK25" s="72">
        <f t="shared" si="21"/>
        <v>0</v>
      </c>
      <c r="BL25" s="72">
        <f t="shared" si="22"/>
        <v>0</v>
      </c>
      <c r="BM25" s="72">
        <f t="shared" si="23"/>
        <v>0</v>
      </c>
      <c r="BN25" s="72">
        <f t="shared" si="24"/>
        <v>0</v>
      </c>
      <c r="BO25" s="72">
        <f t="shared" si="25"/>
        <v>0</v>
      </c>
      <c r="BP25" s="72">
        <f t="shared" si="26"/>
        <v>0</v>
      </c>
      <c r="BQ25" s="72">
        <f t="shared" si="27"/>
        <v>0</v>
      </c>
      <c r="BR25" s="72">
        <f t="shared" si="28"/>
        <v>0</v>
      </c>
      <c r="BS25" s="72">
        <f>((BP25*($C$5-'TMTF3 no comps'!$N$4)*($J$6))/1000)</f>
        <v>0</v>
      </c>
      <c r="BT25" s="72">
        <f>((BQ25*($C$5-'TMTF3 no comps'!$N$4)*($J$6))/1000)</f>
        <v>0</v>
      </c>
      <c r="BU25" s="72">
        <f>((BR25*($C$5-'TMTF3 no comps'!$N$4)*($J$6))/1000)</f>
        <v>0</v>
      </c>
      <c r="BV25" s="72">
        <f>IF(BP25=0,0,VLOOKUP(BP25,'TMTF3 no comps'!$G$42:$I$51,3,FALSE)+BS25)</f>
        <v>0</v>
      </c>
      <c r="BW25" s="72">
        <f>IF(BQ25=0,0,VLOOKUP(BQ25,'TMTF3 no comps'!$G$42:$I$51,3,FALSE)+BT25)</f>
        <v>0</v>
      </c>
      <c r="BX25" s="72">
        <f>IF(BR25=0,0,VLOOKUP(BR25,'TMTF3 no comps'!$G$42:$I$51,3,FALSE)+BU25)</f>
        <v>0</v>
      </c>
      <c r="CB25" s="103" t="str">
        <f t="shared" si="41"/>
        <v/>
      </c>
    </row>
    <row r="26" spans="1:80" x14ac:dyDescent="0.25">
      <c r="A26" s="92" t="s">
        <v>16</v>
      </c>
      <c r="B26" s="110">
        <v>1</v>
      </c>
      <c r="C26" s="92"/>
      <c r="D26" s="111" t="s">
        <v>1</v>
      </c>
      <c r="E26" s="93"/>
      <c r="F26" s="107" t="str">
        <f>IFERROR(MROUND((HLOOKUP(D26,$AM$8:AP26,ROW(D26)-7,FALSE)),HLOOKUP(D26,$D$1:$G$2,2,FALSE)),"")</f>
        <v/>
      </c>
      <c r="G26" s="107" t="str">
        <f t="shared" si="50"/>
        <v/>
      </c>
      <c r="H26" s="94" t="str">
        <f t="shared" si="29"/>
        <v>± 0.024 in</v>
      </c>
      <c r="I26" s="114" t="str">
        <f t="shared" si="0"/>
        <v>0.014 in</v>
      </c>
      <c r="J26" s="92"/>
      <c r="K26" s="92"/>
      <c r="L26" s="92"/>
      <c r="M26" s="72">
        <f t="shared" si="42"/>
        <v>0</v>
      </c>
      <c r="N26" s="72">
        <f t="shared" si="30"/>
        <v>0</v>
      </c>
      <c r="O26" s="72">
        <f t="shared" si="31"/>
        <v>0</v>
      </c>
      <c r="P26" s="95">
        <f t="shared" si="2"/>
        <v>0</v>
      </c>
      <c r="Q26" s="95">
        <f t="shared" si="3"/>
        <v>0</v>
      </c>
      <c r="R26" s="95">
        <f t="shared" si="4"/>
        <v>0</v>
      </c>
      <c r="S26" s="96">
        <f t="shared" si="43"/>
        <v>0</v>
      </c>
      <c r="T26" s="96">
        <f t="shared" si="52"/>
        <v>0</v>
      </c>
      <c r="U26" s="96">
        <f t="shared" si="53"/>
        <v>0</v>
      </c>
      <c r="V26" s="95">
        <f>S26*($D$4-'TMTF3 no comps'!$M$3)*calculator!$I$6</f>
        <v>0</v>
      </c>
      <c r="W26" s="95">
        <f>T26*($D$4-'TMTF3 no comps'!$M$3)*calculator!$I$6</f>
        <v>0</v>
      </c>
      <c r="X26" s="95">
        <f>U26*($D$4-'TMTF3 no comps'!$M$3)*calculator!$I$6</f>
        <v>0</v>
      </c>
      <c r="Y26" s="95">
        <f>IF(S26=0,0,VLOOKUP(S26,'TMTF3 no comps'!$B$42:$D$242,3,FALSE)+V26)</f>
        <v>0</v>
      </c>
      <c r="Z26" s="95">
        <f>IF(T26=0,0,VLOOKUP(T26,'TMTF3 no comps'!$B$42:$D$242,3,FALSE)+W26)</f>
        <v>0</v>
      </c>
      <c r="AA26" s="97">
        <f>IF(U26=0,0,VLOOKUP(U26,'TMTF3 no comps'!$B$42:$D$242,3,FALSE)+X26)</f>
        <v>0</v>
      </c>
      <c r="AB26" s="79">
        <f>MROUND(HLOOKUP(D26,$BD$8:BH26,BI26,FALSE),IF(OR(D26="ft",D26="m"),$D$2,$E$2))</f>
        <v>2.4E-2</v>
      </c>
      <c r="AC26" s="98">
        <f t="shared" si="44"/>
        <v>0</v>
      </c>
      <c r="AD26" s="79">
        <f t="shared" si="6"/>
        <v>0</v>
      </c>
      <c r="AE26" s="97">
        <f t="shared" si="45"/>
        <v>0</v>
      </c>
      <c r="AF26" s="97">
        <f>$AC26*($D$4-'TMTF3 no comps'!$M$3)*calculator!$I$6</f>
        <v>0</v>
      </c>
      <c r="AG26" s="97" t="e">
        <f>VLOOKUP(AC26,'TMTF3 no comps'!$B$42:$D$72,3,FALSE)+AF26</f>
        <v>#N/A</v>
      </c>
      <c r="AH26" s="97" t="e">
        <f t="shared" si="46"/>
        <v>#N/A</v>
      </c>
      <c r="AI26" s="97">
        <f t="shared" si="8"/>
        <v>0</v>
      </c>
      <c r="AJ26" s="97">
        <f t="shared" si="47"/>
        <v>0</v>
      </c>
      <c r="AK26" s="79">
        <f t="shared" si="48"/>
        <v>0</v>
      </c>
      <c r="AL26" s="99">
        <f t="shared" si="32"/>
        <v>2.3599999999999999E-2</v>
      </c>
      <c r="AM26" s="100" t="e">
        <f t="shared" si="51"/>
        <v>#N/A</v>
      </c>
      <c r="AN26" s="79" t="e">
        <f t="shared" si="49"/>
        <v>#N/A</v>
      </c>
      <c r="AO26" s="100" t="e">
        <f t="shared" si="33"/>
        <v>#VALUE!</v>
      </c>
      <c r="AP26" s="78" t="e">
        <f t="shared" si="34"/>
        <v>#VALUE!</v>
      </c>
      <c r="AQ26" s="79">
        <f t="shared" si="35"/>
        <v>2.214E-2</v>
      </c>
      <c r="AR26" s="79">
        <f t="shared" si="36"/>
        <v>1.2300000000000001E-5</v>
      </c>
      <c r="AS26" s="79">
        <f t="shared" si="10"/>
        <v>1.4E-2</v>
      </c>
      <c r="AT26" s="79" t="str">
        <f t="shared" si="11"/>
        <v>in</v>
      </c>
      <c r="AU26" s="79">
        <f t="shared" si="37"/>
        <v>1.4E-2</v>
      </c>
      <c r="AV26" s="98" t="e">
        <f t="shared" si="12"/>
        <v>#VALUE!</v>
      </c>
      <c r="AW26" s="73" t="str">
        <f t="shared" si="13"/>
        <v/>
      </c>
      <c r="AX26" s="73" t="e">
        <f t="shared" si="14"/>
        <v>#VALUE!</v>
      </c>
      <c r="AY26" s="73" t="e">
        <f>(($AV26*($C$5-'TMTF3 no comps'!$N$4)*($J$6))/1000)</f>
        <v>#VALUE!</v>
      </c>
      <c r="AZ26" s="95" t="e">
        <f>VLOOKUP(AV26,'TMTF3 no comps'!$G$42:$I$51,3,FALSE)+AY26</f>
        <v>#VALUE!</v>
      </c>
      <c r="BA26" s="95" t="e">
        <f t="shared" si="38"/>
        <v>#VALUE!</v>
      </c>
      <c r="BB26" s="72" t="e">
        <f t="shared" si="15"/>
        <v>#VALUE!</v>
      </c>
      <c r="BC26" s="101" t="e">
        <f t="shared" si="16"/>
        <v>#VALUE!</v>
      </c>
      <c r="BD26" s="73" t="e">
        <f t="shared" si="39"/>
        <v>#VALUE!</v>
      </c>
      <c r="BE26" s="73" t="e">
        <f t="shared" si="17"/>
        <v>#VALUE!</v>
      </c>
      <c r="BF26" s="73" t="e">
        <f t="shared" si="18"/>
        <v>#VALUE!</v>
      </c>
      <c r="BG26" s="73">
        <f t="shared" si="19"/>
        <v>1.97E-3</v>
      </c>
      <c r="BH26" s="102">
        <f t="shared" si="40"/>
        <v>2.3599999999999999E-2</v>
      </c>
      <c r="BI26" s="72">
        <v>19</v>
      </c>
      <c r="BJ26" s="72">
        <f t="shared" si="20"/>
        <v>0</v>
      </c>
      <c r="BK26" s="72">
        <f t="shared" si="21"/>
        <v>0</v>
      </c>
      <c r="BL26" s="72">
        <f t="shared" si="22"/>
        <v>0</v>
      </c>
      <c r="BM26" s="72">
        <f t="shared" si="23"/>
        <v>0</v>
      </c>
      <c r="BN26" s="72">
        <f t="shared" si="24"/>
        <v>0</v>
      </c>
      <c r="BO26" s="72">
        <f t="shared" si="25"/>
        <v>0</v>
      </c>
      <c r="BP26" s="72">
        <f t="shared" si="26"/>
        <v>0</v>
      </c>
      <c r="BQ26" s="72">
        <f t="shared" si="27"/>
        <v>0</v>
      </c>
      <c r="BR26" s="72">
        <f t="shared" si="28"/>
        <v>0</v>
      </c>
      <c r="BS26" s="72">
        <f>((BP26*($C$5-'TMTF3 no comps'!$N$4)*($J$6))/1000)</f>
        <v>0</v>
      </c>
      <c r="BT26" s="72">
        <f>((BQ26*($C$5-'TMTF3 no comps'!$N$4)*($J$6))/1000)</f>
        <v>0</v>
      </c>
      <c r="BU26" s="72">
        <f>((BR26*($C$5-'TMTF3 no comps'!$N$4)*($J$6))/1000)</f>
        <v>0</v>
      </c>
      <c r="BV26" s="72">
        <f>IF(BP26=0,0,VLOOKUP(BP26,'TMTF3 no comps'!$G$42:$I$51,3,FALSE)+BS26)</f>
        <v>0</v>
      </c>
      <c r="BW26" s="72">
        <f>IF(BQ26=0,0,VLOOKUP(BQ26,'TMTF3 no comps'!$G$42:$I$51,3,FALSE)+BT26)</f>
        <v>0</v>
      </c>
      <c r="BX26" s="72">
        <f>IF(BR26=0,0,VLOOKUP(BR26,'TMTF3 no comps'!$G$42:$I$51,3,FALSE)+BU26)</f>
        <v>0</v>
      </c>
      <c r="CB26" s="103" t="str">
        <f t="shared" si="41"/>
        <v/>
      </c>
    </row>
    <row r="27" spans="1:80" x14ac:dyDescent="0.25">
      <c r="A27" s="92" t="s">
        <v>16</v>
      </c>
      <c r="B27" s="110">
        <v>1</v>
      </c>
      <c r="C27" s="92"/>
      <c r="D27" s="111" t="s">
        <v>1</v>
      </c>
      <c r="E27" s="93"/>
      <c r="F27" s="107" t="str">
        <f>IFERROR(MROUND((HLOOKUP(D27,$AM$8:AP27,ROW(D27)-7,FALSE)),HLOOKUP(D27,$D$1:$G$2,2,FALSE)),"")</f>
        <v/>
      </c>
      <c r="G27" s="107" t="str">
        <f t="shared" si="50"/>
        <v/>
      </c>
      <c r="H27" s="94" t="str">
        <f t="shared" si="29"/>
        <v>± 0.024 in</v>
      </c>
      <c r="I27" s="114" t="str">
        <f t="shared" si="0"/>
        <v>0.014 in</v>
      </c>
      <c r="J27" s="92"/>
      <c r="K27" s="92"/>
      <c r="L27" s="92"/>
      <c r="M27" s="72">
        <f t="shared" si="42"/>
        <v>0</v>
      </c>
      <c r="N27" s="72">
        <f t="shared" si="30"/>
        <v>0</v>
      </c>
      <c r="O27" s="72">
        <f t="shared" si="31"/>
        <v>0</v>
      </c>
      <c r="P27" s="95">
        <f t="shared" si="2"/>
        <v>0</v>
      </c>
      <c r="Q27" s="95">
        <f t="shared" si="3"/>
        <v>0</v>
      </c>
      <c r="R27" s="95">
        <f t="shared" si="4"/>
        <v>0</v>
      </c>
      <c r="S27" s="96">
        <f t="shared" si="43"/>
        <v>0</v>
      </c>
      <c r="T27" s="96">
        <f t="shared" si="52"/>
        <v>0</v>
      </c>
      <c r="U27" s="96">
        <f t="shared" si="53"/>
        <v>0</v>
      </c>
      <c r="V27" s="95">
        <f>S27*($D$4-'TMTF3 no comps'!$M$3)*calculator!$I$6</f>
        <v>0</v>
      </c>
      <c r="W27" s="95">
        <f>T27*($D$4-'TMTF3 no comps'!$M$3)*calculator!$I$6</f>
        <v>0</v>
      </c>
      <c r="X27" s="95">
        <f>U27*($D$4-'TMTF3 no comps'!$M$3)*calculator!$I$6</f>
        <v>0</v>
      </c>
      <c r="Y27" s="95">
        <f>IF(S27=0,0,VLOOKUP(S27,'TMTF3 no comps'!$B$42:$D$242,3,FALSE)+V27)</f>
        <v>0</v>
      </c>
      <c r="Z27" s="95">
        <f>IF(T27=0,0,VLOOKUP(T27,'TMTF3 no comps'!$B$42:$D$242,3,FALSE)+W27)</f>
        <v>0</v>
      </c>
      <c r="AA27" s="97">
        <f>IF(U27=0,0,VLOOKUP(U27,'TMTF3 no comps'!$B$42:$D$242,3,FALSE)+X27)</f>
        <v>0</v>
      </c>
      <c r="AB27" s="79">
        <f>MROUND(HLOOKUP(D27,$BD$8:BH27,BI27,FALSE),IF(OR(D27="ft",D27="m"),$D$2,$E$2))</f>
        <v>2.4E-2</v>
      </c>
      <c r="AC27" s="98">
        <f t="shared" si="44"/>
        <v>0</v>
      </c>
      <c r="AD27" s="79">
        <f t="shared" si="6"/>
        <v>0</v>
      </c>
      <c r="AE27" s="97">
        <f t="shared" si="45"/>
        <v>0</v>
      </c>
      <c r="AF27" s="97">
        <f>$AC27*($D$4-'TMTF3 no comps'!$M$3)*calculator!$I$6</f>
        <v>0</v>
      </c>
      <c r="AG27" s="97" t="e">
        <f>VLOOKUP(AC27,'TMTF3 no comps'!$B$42:$D$72,3,FALSE)+AF27</f>
        <v>#N/A</v>
      </c>
      <c r="AH27" s="97" t="e">
        <f t="shared" si="46"/>
        <v>#N/A</v>
      </c>
      <c r="AI27" s="97">
        <f t="shared" si="8"/>
        <v>0</v>
      </c>
      <c r="AJ27" s="97">
        <f t="shared" si="47"/>
        <v>0</v>
      </c>
      <c r="AK27" s="79">
        <f t="shared" si="48"/>
        <v>0</v>
      </c>
      <c r="AL27" s="99">
        <f t="shared" si="32"/>
        <v>2.3599999999999999E-2</v>
      </c>
      <c r="AM27" s="100" t="e">
        <f t="shared" si="51"/>
        <v>#N/A</v>
      </c>
      <c r="AN27" s="79" t="e">
        <f t="shared" si="49"/>
        <v>#N/A</v>
      </c>
      <c r="AO27" s="100" t="e">
        <f t="shared" si="33"/>
        <v>#VALUE!</v>
      </c>
      <c r="AP27" s="78" t="e">
        <f t="shared" si="34"/>
        <v>#VALUE!</v>
      </c>
      <c r="AQ27" s="79">
        <f t="shared" si="35"/>
        <v>2.214E-2</v>
      </c>
      <c r="AR27" s="79">
        <f t="shared" si="36"/>
        <v>1.2300000000000001E-5</v>
      </c>
      <c r="AS27" s="79">
        <f t="shared" si="10"/>
        <v>1.4E-2</v>
      </c>
      <c r="AT27" s="79" t="str">
        <f t="shared" si="11"/>
        <v>in</v>
      </c>
      <c r="AU27" s="79">
        <f t="shared" si="37"/>
        <v>1.4E-2</v>
      </c>
      <c r="AV27" s="98" t="e">
        <f t="shared" si="12"/>
        <v>#VALUE!</v>
      </c>
      <c r="AW27" s="73" t="str">
        <f t="shared" si="13"/>
        <v/>
      </c>
      <c r="AX27" s="73" t="e">
        <f t="shared" si="14"/>
        <v>#VALUE!</v>
      </c>
      <c r="AY27" s="73" t="e">
        <f>(($AV27*($C$5-'TMTF3 no comps'!$N$4)*($J$6))/1000)</f>
        <v>#VALUE!</v>
      </c>
      <c r="AZ27" s="95" t="e">
        <f>VLOOKUP(AV27,'TMTF3 no comps'!$G$42:$I$51,3,FALSE)+AY27</f>
        <v>#VALUE!</v>
      </c>
      <c r="BA27" s="95" t="e">
        <f t="shared" si="38"/>
        <v>#VALUE!</v>
      </c>
      <c r="BB27" s="72" t="e">
        <f t="shared" si="15"/>
        <v>#VALUE!</v>
      </c>
      <c r="BC27" s="101" t="e">
        <f t="shared" si="16"/>
        <v>#VALUE!</v>
      </c>
      <c r="BD27" s="73" t="e">
        <f t="shared" si="39"/>
        <v>#VALUE!</v>
      </c>
      <c r="BE27" s="73" t="e">
        <f t="shared" si="17"/>
        <v>#VALUE!</v>
      </c>
      <c r="BF27" s="73" t="e">
        <f t="shared" si="18"/>
        <v>#VALUE!</v>
      </c>
      <c r="BG27" s="73">
        <f t="shared" si="19"/>
        <v>1.97E-3</v>
      </c>
      <c r="BH27" s="102">
        <f t="shared" si="40"/>
        <v>2.3599999999999999E-2</v>
      </c>
      <c r="BI27" s="72">
        <v>20</v>
      </c>
      <c r="BJ27" s="72">
        <f t="shared" si="20"/>
        <v>0</v>
      </c>
      <c r="BK27" s="72">
        <f t="shared" si="21"/>
        <v>0</v>
      </c>
      <c r="BL27" s="72">
        <f t="shared" si="22"/>
        <v>0</v>
      </c>
      <c r="BM27" s="72">
        <f t="shared" si="23"/>
        <v>0</v>
      </c>
      <c r="BN27" s="72">
        <f t="shared" si="24"/>
        <v>0</v>
      </c>
      <c r="BO27" s="72">
        <f t="shared" si="25"/>
        <v>0</v>
      </c>
      <c r="BP27" s="72">
        <f t="shared" si="26"/>
        <v>0</v>
      </c>
      <c r="BQ27" s="72">
        <f t="shared" si="27"/>
        <v>0</v>
      </c>
      <c r="BR27" s="72">
        <f t="shared" si="28"/>
        <v>0</v>
      </c>
      <c r="BS27" s="72">
        <f>((BP27*($C$5-'TMTF3 no comps'!$N$4)*($J$6))/1000)</f>
        <v>0</v>
      </c>
      <c r="BT27" s="72">
        <f>((BQ27*($C$5-'TMTF3 no comps'!$N$4)*($J$6))/1000)</f>
        <v>0</v>
      </c>
      <c r="BU27" s="72">
        <f>((BR27*($C$5-'TMTF3 no comps'!$N$4)*($J$6))/1000)</f>
        <v>0</v>
      </c>
      <c r="BV27" s="72">
        <f>IF(BP27=0,0,VLOOKUP(BP27,'TMTF3 no comps'!$G$42:$I$51,3,FALSE)+BS27)</f>
        <v>0</v>
      </c>
      <c r="BW27" s="72">
        <f>IF(BQ27=0,0,VLOOKUP(BQ27,'TMTF3 no comps'!$G$42:$I$51,3,FALSE)+BT27)</f>
        <v>0</v>
      </c>
      <c r="BX27" s="72">
        <f>IF(BR27=0,0,VLOOKUP(BR27,'TMTF3 no comps'!$G$42:$I$51,3,FALSE)+BU27)</f>
        <v>0</v>
      </c>
      <c r="CB27" s="103" t="str">
        <f t="shared" si="41"/>
        <v/>
      </c>
    </row>
    <row r="28" spans="1:80" x14ac:dyDescent="0.25">
      <c r="A28" s="92" t="s">
        <v>16</v>
      </c>
      <c r="B28" s="110">
        <v>1</v>
      </c>
      <c r="C28" s="92"/>
      <c r="D28" s="111" t="s">
        <v>1</v>
      </c>
      <c r="E28" s="93"/>
      <c r="F28" s="107" t="str">
        <f>IFERROR(MROUND((HLOOKUP(D28,$AM$8:AP28,ROW(D28)-7,FALSE)),HLOOKUP(D28,$D$1:$G$2,2,FALSE)),"")</f>
        <v/>
      </c>
      <c r="G28" s="107" t="str">
        <f t="shared" si="50"/>
        <v/>
      </c>
      <c r="H28" s="94" t="str">
        <f t="shared" si="29"/>
        <v>± 0.024 in</v>
      </c>
      <c r="I28" s="114" t="str">
        <f t="shared" si="0"/>
        <v>0.014 in</v>
      </c>
      <c r="J28" s="92"/>
      <c r="K28" s="92"/>
      <c r="L28" s="92"/>
      <c r="M28" s="72">
        <f t="shared" si="42"/>
        <v>0</v>
      </c>
      <c r="N28" s="72">
        <f t="shared" si="30"/>
        <v>0</v>
      </c>
      <c r="O28" s="72">
        <f t="shared" si="31"/>
        <v>0</v>
      </c>
      <c r="P28" s="95">
        <f t="shared" si="2"/>
        <v>0</v>
      </c>
      <c r="Q28" s="95">
        <f t="shared" si="3"/>
        <v>0</v>
      </c>
      <c r="R28" s="95">
        <f t="shared" si="4"/>
        <v>0</v>
      </c>
      <c r="S28" s="96">
        <f t="shared" si="43"/>
        <v>0</v>
      </c>
      <c r="T28" s="96">
        <f t="shared" si="52"/>
        <v>0</v>
      </c>
      <c r="U28" s="96">
        <f t="shared" si="53"/>
        <v>0</v>
      </c>
      <c r="V28" s="95">
        <f>S28*($D$4-'TMTF3 no comps'!$M$3)*calculator!$I$6</f>
        <v>0</v>
      </c>
      <c r="W28" s="95">
        <f>T28*($D$4-'TMTF3 no comps'!$M$3)*calculator!$I$6</f>
        <v>0</v>
      </c>
      <c r="X28" s="95">
        <f>U28*($D$4-'TMTF3 no comps'!$M$3)*calculator!$I$6</f>
        <v>0</v>
      </c>
      <c r="Y28" s="95">
        <f>IF(S28=0,0,VLOOKUP(S28,'TMTF3 no comps'!$B$42:$D$242,3,FALSE)+V28)</f>
        <v>0</v>
      </c>
      <c r="Z28" s="95">
        <f>IF(T28=0,0,VLOOKUP(T28,'TMTF3 no comps'!$B$42:$D$242,3,FALSE)+W28)</f>
        <v>0</v>
      </c>
      <c r="AA28" s="97">
        <f>IF(U28=0,0,VLOOKUP(U28,'TMTF3 no comps'!$B$42:$D$242,3,FALSE)+X28)</f>
        <v>0</v>
      </c>
      <c r="AB28" s="79">
        <f>MROUND(HLOOKUP(D28,$BD$8:BH28,BI28,FALSE),IF(OR(D28="ft",D28="m"),$D$2,$E$2))</f>
        <v>2.4E-2</v>
      </c>
      <c r="AC28" s="98">
        <f t="shared" si="44"/>
        <v>0</v>
      </c>
      <c r="AD28" s="79">
        <f t="shared" si="6"/>
        <v>0</v>
      </c>
      <c r="AE28" s="97">
        <f t="shared" si="45"/>
        <v>0</v>
      </c>
      <c r="AF28" s="97">
        <f>$AC28*($D$4-'TMTF3 no comps'!$M$3)*calculator!$I$6</f>
        <v>0</v>
      </c>
      <c r="AG28" s="97" t="e">
        <f>VLOOKUP(AC28,'TMTF3 no comps'!$B$42:$D$72,3,FALSE)+AF28</f>
        <v>#N/A</v>
      </c>
      <c r="AH28" s="97" t="e">
        <f t="shared" si="46"/>
        <v>#N/A</v>
      </c>
      <c r="AI28" s="97">
        <f t="shared" si="8"/>
        <v>0</v>
      </c>
      <c r="AJ28" s="97">
        <f t="shared" si="47"/>
        <v>0</v>
      </c>
      <c r="AK28" s="79">
        <f t="shared" si="48"/>
        <v>0</v>
      </c>
      <c r="AL28" s="99">
        <f t="shared" si="32"/>
        <v>2.3599999999999999E-2</v>
      </c>
      <c r="AM28" s="100" t="e">
        <f t="shared" si="51"/>
        <v>#N/A</v>
      </c>
      <c r="AN28" s="79" t="e">
        <f t="shared" si="49"/>
        <v>#N/A</v>
      </c>
      <c r="AO28" s="100" t="e">
        <f t="shared" si="33"/>
        <v>#VALUE!</v>
      </c>
      <c r="AP28" s="78" t="e">
        <f t="shared" si="34"/>
        <v>#VALUE!</v>
      </c>
      <c r="AQ28" s="79">
        <f t="shared" si="35"/>
        <v>2.214E-2</v>
      </c>
      <c r="AR28" s="79">
        <f t="shared" si="36"/>
        <v>1.2300000000000001E-5</v>
      </c>
      <c r="AS28" s="79">
        <f t="shared" si="10"/>
        <v>1.4E-2</v>
      </c>
      <c r="AT28" s="79" t="str">
        <f t="shared" si="11"/>
        <v>in</v>
      </c>
      <c r="AU28" s="79">
        <f t="shared" si="37"/>
        <v>1.4E-2</v>
      </c>
      <c r="AV28" s="98" t="e">
        <f t="shared" si="12"/>
        <v>#VALUE!</v>
      </c>
      <c r="AW28" s="73" t="str">
        <f t="shared" si="13"/>
        <v/>
      </c>
      <c r="AX28" s="73" t="e">
        <f t="shared" si="14"/>
        <v>#VALUE!</v>
      </c>
      <c r="AY28" s="73" t="e">
        <f>(($AV28*($C$5-'TMTF3 no comps'!$N$4)*($J$6))/1000)</f>
        <v>#VALUE!</v>
      </c>
      <c r="AZ28" s="95" t="e">
        <f>VLOOKUP(AV28,'TMTF3 no comps'!$G$42:$I$51,3,FALSE)+AY28</f>
        <v>#VALUE!</v>
      </c>
      <c r="BA28" s="95" t="e">
        <f t="shared" si="38"/>
        <v>#VALUE!</v>
      </c>
      <c r="BB28" s="72" t="e">
        <f t="shared" si="15"/>
        <v>#VALUE!</v>
      </c>
      <c r="BC28" s="101" t="e">
        <f t="shared" si="16"/>
        <v>#VALUE!</v>
      </c>
      <c r="BD28" s="73" t="e">
        <f t="shared" si="39"/>
        <v>#VALUE!</v>
      </c>
      <c r="BE28" s="73" t="e">
        <f t="shared" si="17"/>
        <v>#VALUE!</v>
      </c>
      <c r="BF28" s="73" t="e">
        <f t="shared" si="18"/>
        <v>#VALUE!</v>
      </c>
      <c r="BG28" s="73">
        <f t="shared" si="19"/>
        <v>1.97E-3</v>
      </c>
      <c r="BH28" s="102">
        <f t="shared" si="40"/>
        <v>2.3599999999999999E-2</v>
      </c>
      <c r="BI28" s="72">
        <v>21</v>
      </c>
      <c r="BJ28" s="72">
        <f t="shared" si="20"/>
        <v>0</v>
      </c>
      <c r="BK28" s="72">
        <f t="shared" si="21"/>
        <v>0</v>
      </c>
      <c r="BL28" s="72">
        <f t="shared" si="22"/>
        <v>0</v>
      </c>
      <c r="BM28" s="72">
        <f t="shared" si="23"/>
        <v>0</v>
      </c>
      <c r="BN28" s="72">
        <f t="shared" si="24"/>
        <v>0</v>
      </c>
      <c r="BO28" s="72">
        <f t="shared" si="25"/>
        <v>0</v>
      </c>
      <c r="BP28" s="72">
        <f t="shared" si="26"/>
        <v>0</v>
      </c>
      <c r="BQ28" s="72">
        <f t="shared" si="27"/>
        <v>0</v>
      </c>
      <c r="BR28" s="72">
        <f t="shared" si="28"/>
        <v>0</v>
      </c>
      <c r="BS28" s="72">
        <f>((BP28*($C$5-'TMTF3 no comps'!$N$4)*($J$6))/1000)</f>
        <v>0</v>
      </c>
      <c r="BT28" s="72">
        <f>((BQ28*($C$5-'TMTF3 no comps'!$N$4)*($J$6))/1000)</f>
        <v>0</v>
      </c>
      <c r="BU28" s="72">
        <f>((BR28*($C$5-'TMTF3 no comps'!$N$4)*($J$6))/1000)</f>
        <v>0</v>
      </c>
      <c r="BV28" s="72">
        <f>IF(BP28=0,0,VLOOKUP(BP28,'TMTF3 no comps'!$G$42:$I$51,3,FALSE)+BS28)</f>
        <v>0</v>
      </c>
      <c r="BW28" s="72">
        <f>IF(BQ28=0,0,VLOOKUP(BQ28,'TMTF3 no comps'!$G$42:$I$51,3,FALSE)+BT28)</f>
        <v>0</v>
      </c>
      <c r="BX28" s="72">
        <f>IF(BR28=0,0,VLOOKUP(BR28,'TMTF3 no comps'!$G$42:$I$51,3,FALSE)+BU28)</f>
        <v>0</v>
      </c>
      <c r="CB28" s="103" t="str">
        <f t="shared" si="41"/>
        <v/>
      </c>
    </row>
    <row r="29" spans="1:80" x14ac:dyDescent="0.25">
      <c r="A29" s="92" t="s">
        <v>16</v>
      </c>
      <c r="B29" s="110">
        <v>1</v>
      </c>
      <c r="C29" s="92"/>
      <c r="D29" s="111" t="s">
        <v>1</v>
      </c>
      <c r="E29" s="93"/>
      <c r="F29" s="107" t="str">
        <f>IFERROR(MROUND((HLOOKUP(D29,$AM$8:AP29,ROW(D29)-7,FALSE)),HLOOKUP(D29,$D$1:$G$2,2,FALSE)),"")</f>
        <v/>
      </c>
      <c r="G29" s="107" t="str">
        <f t="shared" si="50"/>
        <v/>
      </c>
      <c r="H29" s="94" t="str">
        <f t="shared" si="29"/>
        <v>± 0.024 in</v>
      </c>
      <c r="I29" s="114" t="str">
        <f t="shared" si="0"/>
        <v>0.014 in</v>
      </c>
      <c r="J29" s="92"/>
      <c r="K29" s="92"/>
      <c r="L29" s="92"/>
      <c r="M29" s="72">
        <f t="shared" si="42"/>
        <v>0</v>
      </c>
      <c r="N29" s="72">
        <f t="shared" si="30"/>
        <v>0</v>
      </c>
      <c r="O29" s="72">
        <f t="shared" si="31"/>
        <v>0</v>
      </c>
      <c r="P29" s="95">
        <f t="shared" si="2"/>
        <v>0</v>
      </c>
      <c r="Q29" s="95">
        <f t="shared" si="3"/>
        <v>0</v>
      </c>
      <c r="R29" s="95">
        <f t="shared" si="4"/>
        <v>0</v>
      </c>
      <c r="S29" s="96">
        <f t="shared" si="43"/>
        <v>0</v>
      </c>
      <c r="T29" s="96">
        <f t="shared" si="52"/>
        <v>0</v>
      </c>
      <c r="U29" s="96">
        <f t="shared" si="53"/>
        <v>0</v>
      </c>
      <c r="V29" s="95">
        <f>S29*($D$4-'TMTF3 no comps'!$M$3)*calculator!$I$6</f>
        <v>0</v>
      </c>
      <c r="W29" s="95">
        <f>T29*($D$4-'TMTF3 no comps'!$M$3)*calculator!$I$6</f>
        <v>0</v>
      </c>
      <c r="X29" s="95">
        <f>U29*($D$4-'TMTF3 no comps'!$M$3)*calculator!$I$6</f>
        <v>0</v>
      </c>
      <c r="Y29" s="95">
        <f>IF(S29=0,0,VLOOKUP(S29,'TMTF3 no comps'!$B$42:$D$242,3,FALSE)+V29)</f>
        <v>0</v>
      </c>
      <c r="Z29" s="95">
        <f>IF(T29=0,0,VLOOKUP(T29,'TMTF3 no comps'!$B$42:$D$242,3,FALSE)+W29)</f>
        <v>0</v>
      </c>
      <c r="AA29" s="97">
        <f>IF(U29=0,0,VLOOKUP(U29,'TMTF3 no comps'!$B$42:$D$242,3,FALSE)+X29)</f>
        <v>0</v>
      </c>
      <c r="AB29" s="79">
        <f>MROUND(HLOOKUP(D29,$BD$8:BH29,BI29,FALSE),IF(OR(D29="ft",D29="m"),$D$2,$E$2))</f>
        <v>2.4E-2</v>
      </c>
      <c r="AC29" s="98">
        <f t="shared" si="44"/>
        <v>0</v>
      </c>
      <c r="AD29" s="79">
        <f t="shared" si="6"/>
        <v>0</v>
      </c>
      <c r="AE29" s="97">
        <f t="shared" si="45"/>
        <v>0</v>
      </c>
      <c r="AF29" s="97">
        <f>$AC29*($D$4-'TMTF3 no comps'!$M$3)*calculator!$I$6</f>
        <v>0</v>
      </c>
      <c r="AG29" s="97" t="e">
        <f>VLOOKUP(AC29,'TMTF3 no comps'!$B$42:$D$72,3,FALSE)+AF29</f>
        <v>#N/A</v>
      </c>
      <c r="AH29" s="97" t="e">
        <f t="shared" si="46"/>
        <v>#N/A</v>
      </c>
      <c r="AI29" s="97">
        <f t="shared" si="8"/>
        <v>0</v>
      </c>
      <c r="AJ29" s="97">
        <f t="shared" si="47"/>
        <v>0</v>
      </c>
      <c r="AK29" s="79">
        <f t="shared" si="48"/>
        <v>0</v>
      </c>
      <c r="AL29" s="99">
        <f t="shared" si="32"/>
        <v>2.3599999999999999E-2</v>
      </c>
      <c r="AM29" s="100" t="e">
        <f t="shared" si="51"/>
        <v>#N/A</v>
      </c>
      <c r="AN29" s="79" t="e">
        <f t="shared" si="49"/>
        <v>#N/A</v>
      </c>
      <c r="AO29" s="100" t="e">
        <f t="shared" si="33"/>
        <v>#VALUE!</v>
      </c>
      <c r="AP29" s="78" t="e">
        <f t="shared" si="34"/>
        <v>#VALUE!</v>
      </c>
      <c r="AQ29" s="79">
        <f t="shared" si="35"/>
        <v>2.214E-2</v>
      </c>
      <c r="AR29" s="79">
        <f t="shared" si="36"/>
        <v>1.2300000000000001E-5</v>
      </c>
      <c r="AS29" s="79">
        <f t="shared" si="10"/>
        <v>1.4E-2</v>
      </c>
      <c r="AT29" s="79" t="str">
        <f t="shared" si="11"/>
        <v>in</v>
      </c>
      <c r="AU29" s="79">
        <f t="shared" si="37"/>
        <v>1.4E-2</v>
      </c>
      <c r="AV29" s="98" t="e">
        <f t="shared" si="12"/>
        <v>#VALUE!</v>
      </c>
      <c r="AW29" s="73" t="str">
        <f t="shared" si="13"/>
        <v/>
      </c>
      <c r="AX29" s="73" t="e">
        <f t="shared" si="14"/>
        <v>#VALUE!</v>
      </c>
      <c r="AY29" s="73" t="e">
        <f>(($AV29*($C$5-'TMTF3 no comps'!$N$4)*($J$6))/1000)</f>
        <v>#VALUE!</v>
      </c>
      <c r="AZ29" s="95" t="e">
        <f>VLOOKUP(AV29,'TMTF3 no comps'!$G$42:$I$51,3,FALSE)+AY29</f>
        <v>#VALUE!</v>
      </c>
      <c r="BA29" s="95" t="e">
        <f t="shared" si="38"/>
        <v>#VALUE!</v>
      </c>
      <c r="BB29" s="72" t="e">
        <f t="shared" si="15"/>
        <v>#VALUE!</v>
      </c>
      <c r="BC29" s="101" t="e">
        <f t="shared" si="16"/>
        <v>#VALUE!</v>
      </c>
      <c r="BD29" s="73" t="e">
        <f t="shared" si="39"/>
        <v>#VALUE!</v>
      </c>
      <c r="BE29" s="73" t="e">
        <f t="shared" si="17"/>
        <v>#VALUE!</v>
      </c>
      <c r="BF29" s="73" t="e">
        <f t="shared" si="18"/>
        <v>#VALUE!</v>
      </c>
      <c r="BG29" s="73">
        <f t="shared" si="19"/>
        <v>1.97E-3</v>
      </c>
      <c r="BH29" s="102">
        <f t="shared" si="40"/>
        <v>2.3599999999999999E-2</v>
      </c>
      <c r="BI29" s="72">
        <v>22</v>
      </c>
      <c r="BJ29" s="72">
        <f t="shared" si="20"/>
        <v>0</v>
      </c>
      <c r="BK29" s="72">
        <f t="shared" si="21"/>
        <v>0</v>
      </c>
      <c r="BL29" s="72">
        <f t="shared" si="22"/>
        <v>0</v>
      </c>
      <c r="BM29" s="72">
        <f t="shared" si="23"/>
        <v>0</v>
      </c>
      <c r="BN29" s="72">
        <f t="shared" si="24"/>
        <v>0</v>
      </c>
      <c r="BO29" s="72">
        <f t="shared" si="25"/>
        <v>0</v>
      </c>
      <c r="BP29" s="72">
        <f t="shared" si="26"/>
        <v>0</v>
      </c>
      <c r="BQ29" s="72">
        <f t="shared" si="27"/>
        <v>0</v>
      </c>
      <c r="BR29" s="72">
        <f t="shared" si="28"/>
        <v>0</v>
      </c>
      <c r="BS29" s="72">
        <f>((BP29*($C$5-'TMTF3 no comps'!$N$4)*($J$6))/1000)</f>
        <v>0</v>
      </c>
      <c r="BT29" s="72">
        <f>((BQ29*($C$5-'TMTF3 no comps'!$N$4)*($J$6))/1000)</f>
        <v>0</v>
      </c>
      <c r="BU29" s="72">
        <f>((BR29*($C$5-'TMTF3 no comps'!$N$4)*($J$6))/1000)</f>
        <v>0</v>
      </c>
      <c r="BV29" s="72">
        <f>IF(BP29=0,0,VLOOKUP(BP29,'TMTF3 no comps'!$G$42:$I$51,3,FALSE)+BS29)</f>
        <v>0</v>
      </c>
      <c r="BW29" s="72">
        <f>IF(BQ29=0,0,VLOOKUP(BQ29,'TMTF3 no comps'!$G$42:$I$51,3,FALSE)+BT29)</f>
        <v>0</v>
      </c>
      <c r="BX29" s="72">
        <f>IF(BR29=0,0,VLOOKUP(BR29,'TMTF3 no comps'!$G$42:$I$51,3,FALSE)+BU29)</f>
        <v>0</v>
      </c>
      <c r="CB29" s="103" t="str">
        <f t="shared" si="41"/>
        <v/>
      </c>
    </row>
    <row r="30" spans="1:80" x14ac:dyDescent="0.25">
      <c r="A30" s="92" t="s">
        <v>16</v>
      </c>
      <c r="B30" s="110">
        <v>1</v>
      </c>
      <c r="C30" s="92"/>
      <c r="D30" s="111" t="s">
        <v>1</v>
      </c>
      <c r="E30" s="93"/>
      <c r="F30" s="107" t="str">
        <f>IFERROR(MROUND((HLOOKUP(D30,$AM$8:AP30,ROW(D30)-7,FALSE)),HLOOKUP(D30,$D$1:$G$2,2,FALSE)),"")</f>
        <v/>
      </c>
      <c r="G30" s="107" t="str">
        <f t="shared" si="50"/>
        <v/>
      </c>
      <c r="H30" s="94" t="str">
        <f t="shared" si="29"/>
        <v>± 0.024 in</v>
      </c>
      <c r="I30" s="114" t="str">
        <f t="shared" si="0"/>
        <v>0.014 in</v>
      </c>
      <c r="J30" s="92"/>
      <c r="K30" s="92"/>
      <c r="L30" s="92"/>
      <c r="M30" s="72">
        <f t="shared" si="42"/>
        <v>0</v>
      </c>
      <c r="N30" s="72">
        <f t="shared" si="30"/>
        <v>0</v>
      </c>
      <c r="O30" s="72">
        <f t="shared" si="31"/>
        <v>0</v>
      </c>
      <c r="P30" s="95">
        <f t="shared" si="2"/>
        <v>0</v>
      </c>
      <c r="Q30" s="95">
        <f t="shared" si="3"/>
        <v>0</v>
      </c>
      <c r="R30" s="95">
        <f t="shared" si="4"/>
        <v>0</v>
      </c>
      <c r="S30" s="96">
        <f t="shared" si="43"/>
        <v>0</v>
      </c>
      <c r="T30" s="96">
        <f t="shared" si="52"/>
        <v>0</v>
      </c>
      <c r="U30" s="96">
        <f t="shared" si="53"/>
        <v>0</v>
      </c>
      <c r="V30" s="95">
        <f>S30*($D$4-'TMTF3 no comps'!$M$3)*calculator!$I$6</f>
        <v>0</v>
      </c>
      <c r="W30" s="95">
        <f>T30*($D$4-'TMTF3 no comps'!$M$3)*calculator!$I$6</f>
        <v>0</v>
      </c>
      <c r="X30" s="95">
        <f>U30*($D$4-'TMTF3 no comps'!$M$3)*calculator!$I$6</f>
        <v>0</v>
      </c>
      <c r="Y30" s="95">
        <f>IF(S30=0,0,VLOOKUP(S30,'TMTF3 no comps'!$B$42:$D$242,3,FALSE)+V30)</f>
        <v>0</v>
      </c>
      <c r="Z30" s="95">
        <f>IF(T30=0,0,VLOOKUP(T30,'TMTF3 no comps'!$B$42:$D$242,3,FALSE)+W30)</f>
        <v>0</v>
      </c>
      <c r="AA30" s="97">
        <f>IF(U30=0,0,VLOOKUP(U30,'TMTF3 no comps'!$B$42:$D$242,3,FALSE)+X30)</f>
        <v>0</v>
      </c>
      <c r="AB30" s="79">
        <f>MROUND(HLOOKUP(D30,$BD$8:BH30,BI30,FALSE),IF(OR(D30="ft",D30="m"),$D$2,$E$2))</f>
        <v>2.4E-2</v>
      </c>
      <c r="AC30" s="98">
        <f t="shared" si="44"/>
        <v>0</v>
      </c>
      <c r="AD30" s="79">
        <f t="shared" si="6"/>
        <v>0</v>
      </c>
      <c r="AE30" s="97">
        <f t="shared" si="45"/>
        <v>0</v>
      </c>
      <c r="AF30" s="97">
        <f>$AC30*($D$4-'TMTF3 no comps'!$M$3)*calculator!$I$6</f>
        <v>0</v>
      </c>
      <c r="AG30" s="97" t="e">
        <f>VLOOKUP(AC30,'TMTF3 no comps'!$B$42:$D$72,3,FALSE)+AF30</f>
        <v>#N/A</v>
      </c>
      <c r="AH30" s="97" t="e">
        <f t="shared" si="46"/>
        <v>#N/A</v>
      </c>
      <c r="AI30" s="97">
        <f t="shared" si="8"/>
        <v>0</v>
      </c>
      <c r="AJ30" s="97">
        <f t="shared" si="47"/>
        <v>0</v>
      </c>
      <c r="AK30" s="79">
        <f t="shared" si="48"/>
        <v>0</v>
      </c>
      <c r="AL30" s="99">
        <f t="shared" si="32"/>
        <v>2.3599999999999999E-2</v>
      </c>
      <c r="AM30" s="100" t="e">
        <f t="shared" si="51"/>
        <v>#N/A</v>
      </c>
      <c r="AN30" s="79" t="e">
        <f t="shared" si="49"/>
        <v>#N/A</v>
      </c>
      <c r="AO30" s="100" t="e">
        <f t="shared" si="33"/>
        <v>#VALUE!</v>
      </c>
      <c r="AP30" s="78" t="e">
        <f t="shared" si="34"/>
        <v>#VALUE!</v>
      </c>
      <c r="AQ30" s="79">
        <f t="shared" si="35"/>
        <v>2.214E-2</v>
      </c>
      <c r="AR30" s="79">
        <f t="shared" si="36"/>
        <v>1.2300000000000001E-5</v>
      </c>
      <c r="AS30" s="79">
        <f t="shared" si="10"/>
        <v>1.4E-2</v>
      </c>
      <c r="AT30" s="79" t="str">
        <f t="shared" si="11"/>
        <v>in</v>
      </c>
      <c r="AU30" s="79">
        <f t="shared" si="37"/>
        <v>1.4E-2</v>
      </c>
      <c r="AV30" s="98" t="e">
        <f t="shared" si="12"/>
        <v>#VALUE!</v>
      </c>
      <c r="AW30" s="73" t="str">
        <f t="shared" si="13"/>
        <v/>
      </c>
      <c r="AX30" s="73" t="e">
        <f t="shared" si="14"/>
        <v>#VALUE!</v>
      </c>
      <c r="AY30" s="73" t="e">
        <f>(($AV30*($C$5-'TMTF3 no comps'!$N$4)*($J$6))/1000)</f>
        <v>#VALUE!</v>
      </c>
      <c r="AZ30" s="95" t="e">
        <f>VLOOKUP(AV30,'TMTF3 no comps'!$G$42:$I$51,3,FALSE)+AY30</f>
        <v>#VALUE!</v>
      </c>
      <c r="BA30" s="95" t="e">
        <f t="shared" si="38"/>
        <v>#VALUE!</v>
      </c>
      <c r="BB30" s="72" t="e">
        <f t="shared" si="15"/>
        <v>#VALUE!</v>
      </c>
      <c r="BC30" s="101" t="e">
        <f t="shared" si="16"/>
        <v>#VALUE!</v>
      </c>
      <c r="BD30" s="73" t="e">
        <f t="shared" si="39"/>
        <v>#VALUE!</v>
      </c>
      <c r="BE30" s="73" t="e">
        <f t="shared" si="17"/>
        <v>#VALUE!</v>
      </c>
      <c r="BF30" s="73" t="e">
        <f t="shared" si="18"/>
        <v>#VALUE!</v>
      </c>
      <c r="BG30" s="73">
        <f t="shared" si="19"/>
        <v>1.97E-3</v>
      </c>
      <c r="BH30" s="102">
        <f t="shared" si="40"/>
        <v>2.3599999999999999E-2</v>
      </c>
      <c r="BI30" s="72">
        <v>23</v>
      </c>
      <c r="BJ30" s="72">
        <f t="shared" si="20"/>
        <v>0</v>
      </c>
      <c r="BK30" s="72">
        <f t="shared" si="21"/>
        <v>0</v>
      </c>
      <c r="BL30" s="72">
        <f t="shared" si="22"/>
        <v>0</v>
      </c>
      <c r="BM30" s="72">
        <f t="shared" si="23"/>
        <v>0</v>
      </c>
      <c r="BN30" s="72">
        <f t="shared" si="24"/>
        <v>0</v>
      </c>
      <c r="BO30" s="72">
        <f t="shared" si="25"/>
        <v>0</v>
      </c>
      <c r="BP30" s="72">
        <f t="shared" si="26"/>
        <v>0</v>
      </c>
      <c r="BQ30" s="72">
        <f t="shared" si="27"/>
        <v>0</v>
      </c>
      <c r="BR30" s="72">
        <f t="shared" si="28"/>
        <v>0</v>
      </c>
      <c r="BS30" s="72">
        <f>((BP30*($C$5-'TMTF3 no comps'!$N$4)*($J$6))/1000)</f>
        <v>0</v>
      </c>
      <c r="BT30" s="72">
        <f>((BQ30*($C$5-'TMTF3 no comps'!$N$4)*($J$6))/1000)</f>
        <v>0</v>
      </c>
      <c r="BU30" s="72">
        <f>((BR30*($C$5-'TMTF3 no comps'!$N$4)*($J$6))/1000)</f>
        <v>0</v>
      </c>
      <c r="BV30" s="72">
        <f>IF(BP30=0,0,VLOOKUP(BP30,'TMTF3 no comps'!$G$42:$I$51,3,FALSE)+BS30)</f>
        <v>0</v>
      </c>
      <c r="BW30" s="72">
        <f>IF(BQ30=0,0,VLOOKUP(BQ30,'TMTF3 no comps'!$G$42:$I$51,3,FALSE)+BT30)</f>
        <v>0</v>
      </c>
      <c r="BX30" s="72">
        <f>IF(BR30=0,0,VLOOKUP(BR30,'TMTF3 no comps'!$G$42:$I$51,3,FALSE)+BU30)</f>
        <v>0</v>
      </c>
      <c r="CB30" s="103" t="str">
        <f t="shared" si="41"/>
        <v/>
      </c>
    </row>
    <row r="31" spans="1:80" x14ac:dyDescent="0.25">
      <c r="A31" s="92" t="s">
        <v>16</v>
      </c>
      <c r="B31" s="110">
        <v>1</v>
      </c>
      <c r="C31" s="92"/>
      <c r="D31" s="111" t="s">
        <v>1</v>
      </c>
      <c r="E31" s="93"/>
      <c r="F31" s="107" t="str">
        <f>IFERROR(MROUND((HLOOKUP(D31,$AM$8:AP31,ROW(D31)-7,FALSE)),HLOOKUP(D31,$D$1:$G$2,2,FALSE)),"")</f>
        <v/>
      </c>
      <c r="G31" s="107" t="str">
        <f t="shared" si="50"/>
        <v/>
      </c>
      <c r="H31" s="94" t="str">
        <f t="shared" si="29"/>
        <v>± 0.024 in</v>
      </c>
      <c r="I31" s="114" t="str">
        <f t="shared" si="0"/>
        <v>0.014 in</v>
      </c>
      <c r="J31" s="92"/>
      <c r="K31" s="92"/>
      <c r="L31" s="92"/>
      <c r="M31" s="72">
        <f t="shared" si="42"/>
        <v>0</v>
      </c>
      <c r="N31" s="72">
        <f t="shared" si="30"/>
        <v>0</v>
      </c>
      <c r="O31" s="72">
        <f t="shared" si="31"/>
        <v>0</v>
      </c>
      <c r="P31" s="95">
        <f t="shared" si="2"/>
        <v>0</v>
      </c>
      <c r="Q31" s="95">
        <f t="shared" si="3"/>
        <v>0</v>
      </c>
      <c r="R31" s="95">
        <f t="shared" si="4"/>
        <v>0</v>
      </c>
      <c r="S31" s="96">
        <f t="shared" si="43"/>
        <v>0</v>
      </c>
      <c r="T31" s="96">
        <f t="shared" si="52"/>
        <v>0</v>
      </c>
      <c r="U31" s="96">
        <f t="shared" si="53"/>
        <v>0</v>
      </c>
      <c r="V31" s="95">
        <f>S31*($D$4-'TMTF3 no comps'!$M$3)*calculator!$I$6</f>
        <v>0</v>
      </c>
      <c r="W31" s="95">
        <f>T31*($D$4-'TMTF3 no comps'!$M$3)*calculator!$I$6</f>
        <v>0</v>
      </c>
      <c r="X31" s="95">
        <f>U31*($D$4-'TMTF3 no comps'!$M$3)*calculator!$I$6</f>
        <v>0</v>
      </c>
      <c r="Y31" s="95">
        <f>IF(S31=0,0,VLOOKUP(S31,'TMTF3 no comps'!$B$42:$D$242,3,FALSE)+V31)</f>
        <v>0</v>
      </c>
      <c r="Z31" s="95">
        <f>IF(T31=0,0,VLOOKUP(T31,'TMTF3 no comps'!$B$42:$D$242,3,FALSE)+W31)</f>
        <v>0</v>
      </c>
      <c r="AA31" s="97">
        <f>IF(U31=0,0,VLOOKUP(U31,'TMTF3 no comps'!$B$42:$D$242,3,FALSE)+X31)</f>
        <v>0</v>
      </c>
      <c r="AB31" s="79">
        <f>MROUND(HLOOKUP(D31,$BD$8:BH31,BI31,FALSE),IF(OR(D31="ft",D31="m"),$D$2,$E$2))</f>
        <v>2.4E-2</v>
      </c>
      <c r="AC31" s="98">
        <f t="shared" si="44"/>
        <v>0</v>
      </c>
      <c r="AD31" s="79">
        <f t="shared" si="6"/>
        <v>0</v>
      </c>
      <c r="AE31" s="97">
        <f t="shared" si="45"/>
        <v>0</v>
      </c>
      <c r="AF31" s="97">
        <f>$AC31*($D$4-'TMTF3 no comps'!$M$3)*calculator!$I$6</f>
        <v>0</v>
      </c>
      <c r="AG31" s="97" t="e">
        <f>VLOOKUP(AC31,'TMTF3 no comps'!$B$42:$D$72,3,FALSE)+AF31</f>
        <v>#N/A</v>
      </c>
      <c r="AH31" s="97" t="e">
        <f t="shared" si="46"/>
        <v>#N/A</v>
      </c>
      <c r="AI31" s="97">
        <f t="shared" si="8"/>
        <v>0</v>
      </c>
      <c r="AJ31" s="97">
        <f t="shared" si="47"/>
        <v>0</v>
      </c>
      <c r="AK31" s="79">
        <f t="shared" si="48"/>
        <v>0</v>
      </c>
      <c r="AL31" s="99">
        <f t="shared" si="32"/>
        <v>2.3599999999999999E-2</v>
      </c>
      <c r="AM31" s="100" t="e">
        <f t="shared" si="51"/>
        <v>#N/A</v>
      </c>
      <c r="AN31" s="79" t="e">
        <f t="shared" si="49"/>
        <v>#N/A</v>
      </c>
      <c r="AO31" s="100" t="e">
        <f t="shared" si="33"/>
        <v>#VALUE!</v>
      </c>
      <c r="AP31" s="78" t="e">
        <f t="shared" si="34"/>
        <v>#VALUE!</v>
      </c>
      <c r="AQ31" s="79">
        <f t="shared" si="35"/>
        <v>2.214E-2</v>
      </c>
      <c r="AR31" s="79">
        <f t="shared" si="36"/>
        <v>1.2300000000000001E-5</v>
      </c>
      <c r="AS31" s="79">
        <f t="shared" si="10"/>
        <v>1.4E-2</v>
      </c>
      <c r="AT31" s="79" t="str">
        <f t="shared" si="11"/>
        <v>in</v>
      </c>
      <c r="AU31" s="79">
        <f t="shared" si="37"/>
        <v>1.4E-2</v>
      </c>
      <c r="AV31" s="98" t="e">
        <f t="shared" si="12"/>
        <v>#VALUE!</v>
      </c>
      <c r="AW31" s="73" t="str">
        <f t="shared" si="13"/>
        <v/>
      </c>
      <c r="AX31" s="73" t="e">
        <f t="shared" si="14"/>
        <v>#VALUE!</v>
      </c>
      <c r="AY31" s="73" t="e">
        <f>(($AV31*($C$5-'TMTF3 no comps'!$N$4)*($J$6))/1000)</f>
        <v>#VALUE!</v>
      </c>
      <c r="AZ31" s="95" t="e">
        <f>VLOOKUP(AV31,'TMTF3 no comps'!$G$42:$I$51,3,FALSE)+AY31</f>
        <v>#VALUE!</v>
      </c>
      <c r="BA31" s="95" t="e">
        <f t="shared" si="38"/>
        <v>#VALUE!</v>
      </c>
      <c r="BB31" s="72" t="e">
        <f t="shared" si="15"/>
        <v>#VALUE!</v>
      </c>
      <c r="BC31" s="101" t="e">
        <f t="shared" si="16"/>
        <v>#VALUE!</v>
      </c>
      <c r="BD31" s="73" t="e">
        <f t="shared" si="39"/>
        <v>#VALUE!</v>
      </c>
      <c r="BE31" s="73" t="e">
        <f t="shared" si="17"/>
        <v>#VALUE!</v>
      </c>
      <c r="BF31" s="73" t="e">
        <f t="shared" si="18"/>
        <v>#VALUE!</v>
      </c>
      <c r="BG31" s="73">
        <f t="shared" si="19"/>
        <v>1.97E-3</v>
      </c>
      <c r="BH31" s="102">
        <f t="shared" si="40"/>
        <v>2.3599999999999999E-2</v>
      </c>
      <c r="BI31" s="72">
        <v>24</v>
      </c>
      <c r="BJ31" s="72">
        <f t="shared" si="20"/>
        <v>0</v>
      </c>
      <c r="BK31" s="72">
        <f t="shared" si="21"/>
        <v>0</v>
      </c>
      <c r="BL31" s="72">
        <f t="shared" si="22"/>
        <v>0</v>
      </c>
      <c r="BM31" s="72">
        <f t="shared" si="23"/>
        <v>0</v>
      </c>
      <c r="BN31" s="72">
        <f t="shared" si="24"/>
        <v>0</v>
      </c>
      <c r="BO31" s="72">
        <f t="shared" si="25"/>
        <v>0</v>
      </c>
      <c r="BP31" s="72">
        <f t="shared" si="26"/>
        <v>0</v>
      </c>
      <c r="BQ31" s="72">
        <f t="shared" si="27"/>
        <v>0</v>
      </c>
      <c r="BR31" s="72">
        <f t="shared" si="28"/>
        <v>0</v>
      </c>
      <c r="BS31" s="72">
        <f>((BP31*($C$5-'TMTF3 no comps'!$N$4)*($J$6))/1000)</f>
        <v>0</v>
      </c>
      <c r="BT31" s="72">
        <f>((BQ31*($C$5-'TMTF3 no comps'!$N$4)*($J$6))/1000)</f>
        <v>0</v>
      </c>
      <c r="BU31" s="72">
        <f>((BR31*($C$5-'TMTF3 no comps'!$N$4)*($J$6))/1000)</f>
        <v>0</v>
      </c>
      <c r="BV31" s="72">
        <f>IF(BP31=0,0,VLOOKUP(BP31,'TMTF3 no comps'!$G$42:$I$51,3,FALSE)+BS31)</f>
        <v>0</v>
      </c>
      <c r="BW31" s="72">
        <f>IF(BQ31=0,0,VLOOKUP(BQ31,'TMTF3 no comps'!$G$42:$I$51,3,FALSE)+BT31)</f>
        <v>0</v>
      </c>
      <c r="BX31" s="72">
        <f>IF(BR31=0,0,VLOOKUP(BR31,'TMTF3 no comps'!$G$42:$I$51,3,FALSE)+BU31)</f>
        <v>0</v>
      </c>
      <c r="CB31" s="103" t="str">
        <f t="shared" si="41"/>
        <v/>
      </c>
    </row>
    <row r="32" spans="1:80" x14ac:dyDescent="0.25">
      <c r="A32" s="92" t="s">
        <v>16</v>
      </c>
      <c r="B32" s="110">
        <v>1</v>
      </c>
      <c r="C32" s="92"/>
      <c r="D32" s="111" t="s">
        <v>1</v>
      </c>
      <c r="E32" s="93"/>
      <c r="F32" s="107" t="str">
        <f>IFERROR(MROUND((HLOOKUP(D32,$AM$8:AP32,ROW(D32)-7,FALSE)),HLOOKUP(D32,$D$1:$G$2,2,FALSE)),"")</f>
        <v/>
      </c>
      <c r="G32" s="107" t="str">
        <f t="shared" si="50"/>
        <v/>
      </c>
      <c r="H32" s="94" t="str">
        <f t="shared" si="29"/>
        <v>± 0.024 in</v>
      </c>
      <c r="I32" s="114" t="str">
        <f t="shared" si="0"/>
        <v>0.014 in</v>
      </c>
      <c r="J32" s="92"/>
      <c r="K32" s="92"/>
      <c r="L32" s="92"/>
      <c r="M32" s="72">
        <f t="shared" si="42"/>
        <v>0</v>
      </c>
      <c r="N32" s="72">
        <f t="shared" si="30"/>
        <v>0</v>
      </c>
      <c r="O32" s="72">
        <f t="shared" si="31"/>
        <v>0</v>
      </c>
      <c r="P32" s="95">
        <f t="shared" si="2"/>
        <v>0</v>
      </c>
      <c r="Q32" s="95">
        <f t="shared" si="3"/>
        <v>0</v>
      </c>
      <c r="R32" s="95">
        <f t="shared" si="4"/>
        <v>0</v>
      </c>
      <c r="S32" s="96">
        <f t="shared" si="43"/>
        <v>0</v>
      </c>
      <c r="T32" s="96">
        <f t="shared" si="52"/>
        <v>0</v>
      </c>
      <c r="U32" s="96">
        <f t="shared" si="53"/>
        <v>0</v>
      </c>
      <c r="V32" s="95">
        <f>S32*($D$4-'TMTF3 no comps'!$M$3)*calculator!$I$6</f>
        <v>0</v>
      </c>
      <c r="W32" s="95">
        <f>T32*($D$4-'TMTF3 no comps'!$M$3)*calculator!$I$6</f>
        <v>0</v>
      </c>
      <c r="X32" s="95">
        <f>U32*($D$4-'TMTF3 no comps'!$M$3)*calculator!$I$6</f>
        <v>0</v>
      </c>
      <c r="Y32" s="95">
        <f>IF(S32=0,0,VLOOKUP(S32,'TMTF3 no comps'!$B$42:$D$242,3,FALSE)+V32)</f>
        <v>0</v>
      </c>
      <c r="Z32" s="95">
        <f>IF(T32=0,0,VLOOKUP(T32,'TMTF3 no comps'!$B$42:$D$242,3,FALSE)+W32)</f>
        <v>0</v>
      </c>
      <c r="AA32" s="97">
        <f>IF(U32=0,0,VLOOKUP(U32,'TMTF3 no comps'!$B$42:$D$242,3,FALSE)+X32)</f>
        <v>0</v>
      </c>
      <c r="AB32" s="79">
        <f>MROUND(HLOOKUP(D32,$BD$8:BH32,BI32,FALSE),IF(OR(D32="ft",D32="m"),$D$2,$E$2))</f>
        <v>2.4E-2</v>
      </c>
      <c r="AC32" s="98">
        <f t="shared" si="44"/>
        <v>0</v>
      </c>
      <c r="AD32" s="79">
        <f t="shared" si="6"/>
        <v>0</v>
      </c>
      <c r="AE32" s="97">
        <f t="shared" si="45"/>
        <v>0</v>
      </c>
      <c r="AF32" s="97">
        <f>$AC32*($D$4-'TMTF3 no comps'!$M$3)*calculator!$I$6</f>
        <v>0</v>
      </c>
      <c r="AG32" s="97" t="e">
        <f>VLOOKUP(AC32,'TMTF3 no comps'!$B$42:$D$72,3,FALSE)+AF32</f>
        <v>#N/A</v>
      </c>
      <c r="AH32" s="97" t="e">
        <f t="shared" si="46"/>
        <v>#N/A</v>
      </c>
      <c r="AI32" s="97">
        <f t="shared" si="8"/>
        <v>0</v>
      </c>
      <c r="AJ32" s="97">
        <f t="shared" si="47"/>
        <v>0</v>
      </c>
      <c r="AK32" s="79">
        <f t="shared" si="48"/>
        <v>0</v>
      </c>
      <c r="AL32" s="99">
        <f t="shared" si="32"/>
        <v>2.3599999999999999E-2</v>
      </c>
      <c r="AM32" s="100" t="e">
        <f t="shared" si="51"/>
        <v>#N/A</v>
      </c>
      <c r="AN32" s="79" t="e">
        <f t="shared" si="49"/>
        <v>#N/A</v>
      </c>
      <c r="AO32" s="100" t="e">
        <f t="shared" si="33"/>
        <v>#VALUE!</v>
      </c>
      <c r="AP32" s="78" t="e">
        <f t="shared" si="34"/>
        <v>#VALUE!</v>
      </c>
      <c r="AQ32" s="79">
        <f t="shared" si="35"/>
        <v>2.214E-2</v>
      </c>
      <c r="AR32" s="79">
        <f t="shared" si="36"/>
        <v>1.2300000000000001E-5</v>
      </c>
      <c r="AS32" s="79">
        <f t="shared" si="10"/>
        <v>1.4E-2</v>
      </c>
      <c r="AT32" s="79" t="str">
        <f t="shared" si="11"/>
        <v>in</v>
      </c>
      <c r="AU32" s="79">
        <f t="shared" si="37"/>
        <v>1.4E-2</v>
      </c>
      <c r="AV32" s="98" t="e">
        <f t="shared" si="12"/>
        <v>#VALUE!</v>
      </c>
      <c r="AW32" s="73" t="str">
        <f t="shared" si="13"/>
        <v/>
      </c>
      <c r="AX32" s="73" t="e">
        <f t="shared" si="14"/>
        <v>#VALUE!</v>
      </c>
      <c r="AY32" s="73" t="e">
        <f>(($AV32*($C$5-'TMTF3 no comps'!$N$4)*($J$6))/1000)</f>
        <v>#VALUE!</v>
      </c>
      <c r="AZ32" s="95" t="e">
        <f>VLOOKUP(AV32,'TMTF3 no comps'!$G$42:$I$51,3,FALSE)+AY32</f>
        <v>#VALUE!</v>
      </c>
      <c r="BA32" s="95" t="e">
        <f t="shared" si="38"/>
        <v>#VALUE!</v>
      </c>
      <c r="BB32" s="72" t="e">
        <f t="shared" si="15"/>
        <v>#VALUE!</v>
      </c>
      <c r="BC32" s="101" t="e">
        <f t="shared" si="16"/>
        <v>#VALUE!</v>
      </c>
      <c r="BD32" s="73" t="e">
        <f t="shared" si="39"/>
        <v>#VALUE!</v>
      </c>
      <c r="BE32" s="73" t="e">
        <f t="shared" si="17"/>
        <v>#VALUE!</v>
      </c>
      <c r="BF32" s="73" t="e">
        <f t="shared" si="18"/>
        <v>#VALUE!</v>
      </c>
      <c r="BG32" s="73">
        <f t="shared" si="19"/>
        <v>1.97E-3</v>
      </c>
      <c r="BH32" s="102">
        <f t="shared" si="40"/>
        <v>2.3599999999999999E-2</v>
      </c>
      <c r="BI32" s="72">
        <v>25</v>
      </c>
      <c r="BJ32" s="72">
        <f t="shared" si="20"/>
        <v>0</v>
      </c>
      <c r="BK32" s="72">
        <f t="shared" si="21"/>
        <v>0</v>
      </c>
      <c r="BL32" s="72">
        <f t="shared" si="22"/>
        <v>0</v>
      </c>
      <c r="BM32" s="72">
        <f t="shared" si="23"/>
        <v>0</v>
      </c>
      <c r="BN32" s="72">
        <f t="shared" si="24"/>
        <v>0</v>
      </c>
      <c r="BO32" s="72">
        <f t="shared" si="25"/>
        <v>0</v>
      </c>
      <c r="BP32" s="72">
        <f t="shared" si="26"/>
        <v>0</v>
      </c>
      <c r="BQ32" s="72">
        <f t="shared" si="27"/>
        <v>0</v>
      </c>
      <c r="BR32" s="72">
        <f t="shared" si="28"/>
        <v>0</v>
      </c>
      <c r="BS32" s="72">
        <f>((BP32*($C$5-'TMTF3 no comps'!$N$4)*($J$6))/1000)</f>
        <v>0</v>
      </c>
      <c r="BT32" s="72">
        <f>((BQ32*($C$5-'TMTF3 no comps'!$N$4)*($J$6))/1000)</f>
        <v>0</v>
      </c>
      <c r="BU32" s="72">
        <f>((BR32*($C$5-'TMTF3 no comps'!$N$4)*($J$6))/1000)</f>
        <v>0</v>
      </c>
      <c r="BV32" s="72">
        <f>IF(BP32=0,0,VLOOKUP(BP32,'TMTF3 no comps'!$G$42:$I$51,3,FALSE)+BS32)</f>
        <v>0</v>
      </c>
      <c r="BW32" s="72">
        <f>IF(BQ32=0,0,VLOOKUP(BQ32,'TMTF3 no comps'!$G$42:$I$51,3,FALSE)+BT32)</f>
        <v>0</v>
      </c>
      <c r="BX32" s="72">
        <f>IF(BR32=0,0,VLOOKUP(BR32,'TMTF3 no comps'!$G$42:$I$51,3,FALSE)+BU32)</f>
        <v>0</v>
      </c>
      <c r="CB32" s="103" t="str">
        <f t="shared" si="41"/>
        <v/>
      </c>
    </row>
    <row r="33" spans="2:8" x14ac:dyDescent="0.25">
      <c r="B33" s="81"/>
      <c r="C33" s="112"/>
      <c r="F33" s="105"/>
      <c r="H33" s="81"/>
    </row>
    <row r="34" spans="2:8" x14ac:dyDescent="0.25">
      <c r="B34" s="81"/>
      <c r="C34" s="113"/>
      <c r="F34" s="105"/>
      <c r="H34" s="81"/>
    </row>
    <row r="35" spans="2:8" x14ac:dyDescent="0.25">
      <c r="B35" s="81"/>
      <c r="F35" s="105"/>
      <c r="H35" s="81"/>
    </row>
    <row r="36" spans="2:8" x14ac:dyDescent="0.25">
      <c r="B36" s="81"/>
      <c r="F36" s="105"/>
      <c r="H36" s="81"/>
    </row>
    <row r="37" spans="2:8" x14ac:dyDescent="0.25">
      <c r="B37" s="81"/>
      <c r="F37" s="105"/>
      <c r="H37" s="81"/>
    </row>
    <row r="38" spans="2:8" x14ac:dyDescent="0.25">
      <c r="B38" s="81"/>
      <c r="F38" s="105"/>
      <c r="H38" s="81"/>
    </row>
    <row r="39" spans="2:8" x14ac:dyDescent="0.25">
      <c r="B39" s="81"/>
      <c r="F39" s="105"/>
      <c r="H39" s="81"/>
    </row>
    <row r="40" spans="2:8" x14ac:dyDescent="0.25">
      <c r="B40" s="81"/>
      <c r="F40" s="105"/>
      <c r="H40" s="81"/>
    </row>
    <row r="41" spans="2:8" x14ac:dyDescent="0.25">
      <c r="B41" s="81"/>
      <c r="F41" s="105"/>
      <c r="H41" s="81"/>
    </row>
    <row r="42" spans="2:8" x14ac:dyDescent="0.25">
      <c r="B42" s="81"/>
      <c r="F42" s="105"/>
      <c r="H42" s="81"/>
    </row>
    <row r="43" spans="2:8" x14ac:dyDescent="0.25">
      <c r="B43" s="81"/>
      <c r="F43" s="105"/>
      <c r="H43" s="81"/>
    </row>
    <row r="44" spans="2:8" x14ac:dyDescent="0.25">
      <c r="B44" s="81"/>
      <c r="F44" s="105"/>
      <c r="H44" s="81"/>
    </row>
    <row r="45" spans="2:8" x14ac:dyDescent="0.25">
      <c r="B45" s="81"/>
      <c r="F45" s="105"/>
      <c r="H45" s="81"/>
    </row>
    <row r="46" spans="2:8" x14ac:dyDescent="0.25">
      <c r="B46" s="81"/>
      <c r="F46" s="105"/>
      <c r="H46" s="81"/>
    </row>
    <row r="47" spans="2:8" x14ac:dyDescent="0.25">
      <c r="B47" s="81"/>
      <c r="F47" s="105"/>
      <c r="H47" s="81"/>
    </row>
    <row r="48" spans="2:8" x14ac:dyDescent="0.25">
      <c r="B48" s="81"/>
      <c r="F48" s="105"/>
      <c r="H48" s="81"/>
    </row>
    <row r="49" spans="2:8" x14ac:dyDescent="0.25">
      <c r="B49" s="81"/>
      <c r="F49" s="105"/>
      <c r="H49" s="81"/>
    </row>
    <row r="50" spans="2:8" x14ac:dyDescent="0.25">
      <c r="B50" s="81"/>
      <c r="F50" s="105"/>
      <c r="H50" s="81"/>
    </row>
    <row r="51" spans="2:8" x14ac:dyDescent="0.25">
      <c r="B51" s="81"/>
      <c r="F51" s="105"/>
      <c r="H51" s="81"/>
    </row>
    <row r="52" spans="2:8" x14ac:dyDescent="0.25">
      <c r="B52" s="81"/>
      <c r="F52" s="105"/>
      <c r="H52" s="81"/>
    </row>
    <row r="53" spans="2:8" x14ac:dyDescent="0.25">
      <c r="B53" s="81"/>
      <c r="F53" s="105"/>
      <c r="H53" s="81"/>
    </row>
    <row r="54" spans="2:8" x14ac:dyDescent="0.25">
      <c r="B54" s="81"/>
      <c r="F54" s="105"/>
      <c r="H54" s="81"/>
    </row>
    <row r="55" spans="2:8" x14ac:dyDescent="0.25">
      <c r="B55" s="81"/>
      <c r="F55" s="105"/>
      <c r="H55" s="81"/>
    </row>
    <row r="56" spans="2:8" x14ac:dyDescent="0.25">
      <c r="B56" s="81"/>
      <c r="F56" s="105"/>
      <c r="H56" s="81"/>
    </row>
    <row r="57" spans="2:8" x14ac:dyDescent="0.25">
      <c r="B57" s="81"/>
      <c r="F57" s="105"/>
      <c r="H57" s="81"/>
    </row>
    <row r="58" spans="2:8" x14ac:dyDescent="0.25">
      <c r="B58" s="81"/>
      <c r="F58" s="105"/>
      <c r="H58" s="81"/>
    </row>
    <row r="59" spans="2:8" x14ac:dyDescent="0.25">
      <c r="B59" s="81"/>
      <c r="F59" s="105"/>
      <c r="H59" s="81"/>
    </row>
    <row r="60" spans="2:8" x14ac:dyDescent="0.25">
      <c r="B60" s="81"/>
      <c r="F60" s="105"/>
      <c r="H60" s="81"/>
    </row>
    <row r="61" spans="2:8" x14ac:dyDescent="0.25">
      <c r="B61" s="81"/>
      <c r="F61" s="105"/>
      <c r="H61" s="81"/>
    </row>
    <row r="62" spans="2:8" x14ac:dyDescent="0.25">
      <c r="B62" s="81"/>
      <c r="F62" s="105"/>
      <c r="H62" s="81"/>
    </row>
    <row r="63" spans="2:8" x14ac:dyDescent="0.25">
      <c r="B63" s="81"/>
      <c r="F63" s="105"/>
      <c r="H63" s="81"/>
    </row>
    <row r="64" spans="2:8" x14ac:dyDescent="0.25">
      <c r="B64" s="81"/>
      <c r="F64" s="105"/>
      <c r="H64" s="81"/>
    </row>
    <row r="65" spans="2:8" x14ac:dyDescent="0.25">
      <c r="B65" s="81"/>
      <c r="F65" s="105"/>
      <c r="H65" s="81"/>
    </row>
    <row r="66" spans="2:8" x14ac:dyDescent="0.25">
      <c r="B66" s="81"/>
      <c r="F66" s="105"/>
      <c r="H66" s="81"/>
    </row>
    <row r="67" spans="2:8" x14ac:dyDescent="0.25">
      <c r="B67" s="81"/>
      <c r="F67" s="105"/>
      <c r="H67" s="81"/>
    </row>
    <row r="68" spans="2:8" x14ac:dyDescent="0.25">
      <c r="B68" s="81"/>
      <c r="F68" s="105"/>
      <c r="H68" s="81"/>
    </row>
    <row r="69" spans="2:8" x14ac:dyDescent="0.25">
      <c r="B69" s="81"/>
      <c r="F69" s="105"/>
      <c r="H69" s="81"/>
    </row>
    <row r="70" spans="2:8" x14ac:dyDescent="0.25">
      <c r="B70" s="81"/>
      <c r="F70" s="105"/>
      <c r="H70" s="81"/>
    </row>
    <row r="71" spans="2:8" x14ac:dyDescent="0.25">
      <c r="B71" s="81"/>
      <c r="F71" s="105"/>
      <c r="H71" s="81"/>
    </row>
    <row r="72" spans="2:8" x14ac:dyDescent="0.25">
      <c r="B72" s="81"/>
      <c r="F72" s="105"/>
      <c r="H72" s="81"/>
    </row>
    <row r="73" spans="2:8" x14ac:dyDescent="0.25">
      <c r="B73" s="81"/>
      <c r="F73" s="105"/>
      <c r="H73" s="81"/>
    </row>
    <row r="74" spans="2:8" x14ac:dyDescent="0.25">
      <c r="B74" s="81"/>
      <c r="F74" s="105"/>
      <c r="H74" s="81"/>
    </row>
    <row r="75" spans="2:8" x14ac:dyDescent="0.25">
      <c r="B75" s="81"/>
      <c r="F75" s="105"/>
      <c r="H75" s="81"/>
    </row>
    <row r="76" spans="2:8" x14ac:dyDescent="0.25">
      <c r="B76" s="81"/>
      <c r="F76" s="105"/>
      <c r="H76" s="81"/>
    </row>
    <row r="77" spans="2:8" x14ac:dyDescent="0.25">
      <c r="B77" s="81"/>
      <c r="F77" s="105"/>
      <c r="H77" s="81"/>
    </row>
    <row r="78" spans="2:8" x14ac:dyDescent="0.25">
      <c r="B78" s="81"/>
      <c r="F78" s="105"/>
      <c r="H78" s="81"/>
    </row>
    <row r="79" spans="2:8" x14ac:dyDescent="0.25">
      <c r="B79" s="81"/>
      <c r="F79" s="105"/>
      <c r="H79" s="81"/>
    </row>
    <row r="80" spans="2:8" x14ac:dyDescent="0.25">
      <c r="B80" s="81"/>
      <c r="F80" s="105"/>
      <c r="H80" s="81"/>
    </row>
    <row r="81" spans="2:8" x14ac:dyDescent="0.25">
      <c r="B81" s="81"/>
      <c r="F81" s="105"/>
      <c r="H81" s="81"/>
    </row>
    <row r="82" spans="2:8" x14ac:dyDescent="0.25">
      <c r="B82" s="81"/>
      <c r="F82" s="105"/>
      <c r="H82" s="81"/>
    </row>
    <row r="83" spans="2:8" x14ac:dyDescent="0.25">
      <c r="B83" s="81"/>
      <c r="F83" s="105"/>
      <c r="H83" s="81"/>
    </row>
    <row r="84" spans="2:8" x14ac:dyDescent="0.25">
      <c r="B84" s="81"/>
      <c r="F84" s="105"/>
      <c r="H84" s="81"/>
    </row>
    <row r="85" spans="2:8" x14ac:dyDescent="0.25">
      <c r="B85" s="81"/>
      <c r="F85" s="105"/>
      <c r="H85" s="81"/>
    </row>
    <row r="86" spans="2:8" x14ac:dyDescent="0.25">
      <c r="B86" s="81"/>
      <c r="F86" s="105"/>
      <c r="H86" s="81"/>
    </row>
    <row r="87" spans="2:8" x14ac:dyDescent="0.25">
      <c r="B87" s="81"/>
      <c r="F87" s="105"/>
      <c r="H87" s="81"/>
    </row>
    <row r="88" spans="2:8" x14ac:dyDescent="0.25">
      <c r="B88" s="81"/>
      <c r="F88" s="105"/>
      <c r="H88" s="81"/>
    </row>
    <row r="89" spans="2:8" x14ac:dyDescent="0.25">
      <c r="B89" s="81"/>
      <c r="F89" s="105"/>
    </row>
    <row r="90" spans="2:8" x14ac:dyDescent="0.25">
      <c r="B90" s="81"/>
      <c r="F90" s="105"/>
    </row>
    <row r="91" spans="2:8" x14ac:dyDescent="0.25">
      <c r="B91" s="81"/>
      <c r="F91" s="105"/>
    </row>
    <row r="92" spans="2:8" x14ac:dyDescent="0.25">
      <c r="B92" s="81"/>
      <c r="F92" s="105"/>
    </row>
    <row r="93" spans="2:8" x14ac:dyDescent="0.25">
      <c r="B93" s="81"/>
      <c r="F93" s="105"/>
    </row>
    <row r="94" spans="2:8" x14ac:dyDescent="0.25">
      <c r="B94" s="81"/>
      <c r="F94" s="105"/>
    </row>
    <row r="95" spans="2:8" x14ac:dyDescent="0.25">
      <c r="B95" s="81"/>
      <c r="F95" s="105"/>
    </row>
    <row r="96" spans="2:8" x14ac:dyDescent="0.25">
      <c r="B96" s="81"/>
      <c r="F96" s="105"/>
    </row>
    <row r="97" spans="2:6" x14ac:dyDescent="0.25">
      <c r="B97" s="81"/>
      <c r="F97" s="105"/>
    </row>
    <row r="98" spans="2:6" x14ac:dyDescent="0.25">
      <c r="B98" s="81"/>
      <c r="F98" s="105"/>
    </row>
    <row r="99" spans="2:6" x14ac:dyDescent="0.25">
      <c r="B99" s="81"/>
      <c r="F99" s="105"/>
    </row>
    <row r="100" spans="2:6" x14ac:dyDescent="0.25">
      <c r="B100" s="81"/>
      <c r="F100" s="105"/>
    </row>
    <row r="101" spans="2:6" x14ac:dyDescent="0.25">
      <c r="B101" s="81"/>
      <c r="F101" s="105"/>
    </row>
    <row r="102" spans="2:6" x14ac:dyDescent="0.25">
      <c r="B102" s="81"/>
      <c r="F102" s="105"/>
    </row>
    <row r="103" spans="2:6" x14ac:dyDescent="0.25">
      <c r="B103" s="81"/>
      <c r="F103" s="105"/>
    </row>
    <row r="104" spans="2:6" x14ac:dyDescent="0.25">
      <c r="B104" s="81"/>
      <c r="F104" s="105"/>
    </row>
    <row r="105" spans="2:6" x14ac:dyDescent="0.25">
      <c r="B105" s="81"/>
      <c r="F105" s="105"/>
    </row>
    <row r="106" spans="2:6" x14ac:dyDescent="0.25">
      <c r="B106" s="81"/>
      <c r="F106" s="105"/>
    </row>
    <row r="107" spans="2:6" x14ac:dyDescent="0.25">
      <c r="B107" s="81"/>
      <c r="F107" s="105"/>
    </row>
    <row r="108" spans="2:6" x14ac:dyDescent="0.25">
      <c r="B108" s="81"/>
      <c r="F108" s="105"/>
    </row>
    <row r="109" spans="2:6" x14ac:dyDescent="0.25">
      <c r="B109" s="81"/>
      <c r="F109" s="105"/>
    </row>
    <row r="110" spans="2:6" x14ac:dyDescent="0.25">
      <c r="B110" s="81"/>
      <c r="F110" s="105"/>
    </row>
    <row r="111" spans="2:6" x14ac:dyDescent="0.25">
      <c r="B111" s="81"/>
      <c r="F111" s="105"/>
    </row>
    <row r="112" spans="2:6" x14ac:dyDescent="0.25">
      <c r="B112" s="81"/>
      <c r="F112" s="105"/>
    </row>
    <row r="113" spans="2:6" x14ac:dyDescent="0.25">
      <c r="B113" s="81"/>
      <c r="F113" s="105"/>
    </row>
    <row r="114" spans="2:6" x14ac:dyDescent="0.25">
      <c r="B114" s="81"/>
      <c r="F114" s="105"/>
    </row>
    <row r="115" spans="2:6" x14ac:dyDescent="0.25">
      <c r="B115" s="81"/>
      <c r="F115" s="105"/>
    </row>
    <row r="116" spans="2:6" x14ac:dyDescent="0.25">
      <c r="B116" s="81"/>
      <c r="F116" s="105"/>
    </row>
    <row r="117" spans="2:6" x14ac:dyDescent="0.25">
      <c r="B117" s="81"/>
      <c r="F117" s="105"/>
    </row>
    <row r="118" spans="2:6" x14ac:dyDescent="0.25">
      <c r="B118" s="81"/>
      <c r="F118" s="105"/>
    </row>
    <row r="119" spans="2:6" x14ac:dyDescent="0.25">
      <c r="B119" s="81"/>
      <c r="F119" s="105"/>
    </row>
    <row r="120" spans="2:6" x14ac:dyDescent="0.25">
      <c r="B120" s="81"/>
      <c r="F120" s="105"/>
    </row>
    <row r="121" spans="2:6" x14ac:dyDescent="0.25">
      <c r="B121" s="81"/>
      <c r="F121" s="105"/>
    </row>
    <row r="122" spans="2:6" x14ac:dyDescent="0.25">
      <c r="B122" s="81"/>
      <c r="F122" s="105"/>
    </row>
    <row r="123" spans="2:6" x14ac:dyDescent="0.25">
      <c r="B123" s="81"/>
      <c r="F123" s="105"/>
    </row>
    <row r="124" spans="2:6" x14ac:dyDescent="0.25">
      <c r="B124" s="81"/>
      <c r="F124" s="105"/>
    </row>
    <row r="125" spans="2:6" x14ac:dyDescent="0.25">
      <c r="B125" s="81"/>
      <c r="F125" s="105"/>
    </row>
    <row r="126" spans="2:6" x14ac:dyDescent="0.25">
      <c r="B126" s="81"/>
      <c r="F126" s="105"/>
    </row>
    <row r="127" spans="2:6" x14ac:dyDescent="0.25">
      <c r="B127" s="81"/>
      <c r="F127" s="105"/>
    </row>
    <row r="128" spans="2:6" x14ac:dyDescent="0.25">
      <c r="B128" s="81"/>
      <c r="F128" s="105"/>
    </row>
    <row r="129" spans="2:6" x14ac:dyDescent="0.25">
      <c r="B129" s="81"/>
      <c r="F129" s="105"/>
    </row>
    <row r="130" spans="2:6" x14ac:dyDescent="0.25">
      <c r="B130" s="81"/>
      <c r="F130" s="105"/>
    </row>
    <row r="131" spans="2:6" x14ac:dyDescent="0.25">
      <c r="B131" s="81"/>
      <c r="F131" s="105"/>
    </row>
    <row r="132" spans="2:6" x14ac:dyDescent="0.25">
      <c r="B132" s="81"/>
      <c r="F132" s="105"/>
    </row>
    <row r="133" spans="2:6" x14ac:dyDescent="0.25">
      <c r="B133" s="81"/>
      <c r="F133" s="105"/>
    </row>
    <row r="134" spans="2:6" x14ac:dyDescent="0.25">
      <c r="B134" s="81"/>
      <c r="F134" s="105"/>
    </row>
    <row r="135" spans="2:6" x14ac:dyDescent="0.25">
      <c r="B135" s="81"/>
      <c r="F135" s="105"/>
    </row>
    <row r="136" spans="2:6" x14ac:dyDescent="0.25">
      <c r="B136" s="81"/>
      <c r="F136" s="105"/>
    </row>
    <row r="137" spans="2:6" x14ac:dyDescent="0.25">
      <c r="B137" s="81"/>
      <c r="F137" s="105"/>
    </row>
    <row r="138" spans="2:6" x14ac:dyDescent="0.25">
      <c r="B138" s="81"/>
      <c r="F138" s="105"/>
    </row>
    <row r="139" spans="2:6" x14ac:dyDescent="0.25">
      <c r="B139" s="81"/>
      <c r="F139" s="105"/>
    </row>
    <row r="140" spans="2:6" x14ac:dyDescent="0.25">
      <c r="F140" s="105"/>
    </row>
    <row r="141" spans="2:6" x14ac:dyDescent="0.25">
      <c r="F141" s="105"/>
    </row>
    <row r="142" spans="2:6" x14ac:dyDescent="0.25">
      <c r="F142" s="105"/>
    </row>
    <row r="143" spans="2:6" x14ac:dyDescent="0.25">
      <c r="F143" s="105"/>
    </row>
    <row r="144" spans="2:6" x14ac:dyDescent="0.25">
      <c r="F144" s="105"/>
    </row>
    <row r="145" spans="6:6" x14ac:dyDescent="0.25">
      <c r="F145" s="105"/>
    </row>
    <row r="146" spans="6:6" x14ac:dyDescent="0.25">
      <c r="F146" s="105"/>
    </row>
    <row r="147" spans="6:6" x14ac:dyDescent="0.25">
      <c r="F147" s="105"/>
    </row>
    <row r="148" spans="6:6" x14ac:dyDescent="0.25">
      <c r="F148" s="105"/>
    </row>
    <row r="149" spans="6:6" x14ac:dyDescent="0.25">
      <c r="F149" s="105"/>
    </row>
    <row r="150" spans="6:6" x14ac:dyDescent="0.25">
      <c r="F150" s="105"/>
    </row>
    <row r="151" spans="6:6" x14ac:dyDescent="0.25">
      <c r="F151" s="105"/>
    </row>
    <row r="152" spans="6:6" x14ac:dyDescent="0.25">
      <c r="F152" s="105"/>
    </row>
    <row r="153" spans="6:6" x14ac:dyDescent="0.25">
      <c r="F153" s="105"/>
    </row>
    <row r="154" spans="6:6" x14ac:dyDescent="0.25">
      <c r="F154" s="105"/>
    </row>
    <row r="155" spans="6:6" x14ac:dyDescent="0.25">
      <c r="F155" s="105"/>
    </row>
    <row r="156" spans="6:6" x14ac:dyDescent="0.25">
      <c r="F156" s="105"/>
    </row>
    <row r="157" spans="6:6" x14ac:dyDescent="0.25">
      <c r="F157" s="105"/>
    </row>
    <row r="158" spans="6:6" x14ac:dyDescent="0.25">
      <c r="F158" s="105"/>
    </row>
    <row r="159" spans="6:6" x14ac:dyDescent="0.25">
      <c r="F159" s="105"/>
    </row>
    <row r="160" spans="6:6" x14ac:dyDescent="0.25">
      <c r="F160" s="105"/>
    </row>
    <row r="161" spans="6:6" x14ac:dyDescent="0.25">
      <c r="F161" s="105"/>
    </row>
    <row r="162" spans="6:6" x14ac:dyDescent="0.25">
      <c r="F162" s="105"/>
    </row>
    <row r="163" spans="6:6" x14ac:dyDescent="0.25">
      <c r="F163" s="105"/>
    </row>
    <row r="164" spans="6:6" x14ac:dyDescent="0.25">
      <c r="F164" s="105"/>
    </row>
    <row r="165" spans="6:6" x14ac:dyDescent="0.25">
      <c r="F165" s="105"/>
    </row>
    <row r="166" spans="6:6" x14ac:dyDescent="0.25">
      <c r="F166" s="105"/>
    </row>
    <row r="167" spans="6:6" x14ac:dyDescent="0.25">
      <c r="F167" s="105"/>
    </row>
    <row r="168" spans="6:6" x14ac:dyDescent="0.25">
      <c r="F168" s="105"/>
    </row>
    <row r="169" spans="6:6" x14ac:dyDescent="0.25">
      <c r="F169" s="105"/>
    </row>
    <row r="170" spans="6:6" x14ac:dyDescent="0.25">
      <c r="F170" s="105"/>
    </row>
    <row r="171" spans="6:6" x14ac:dyDescent="0.25">
      <c r="F171" s="105"/>
    </row>
    <row r="172" spans="6:6" x14ac:dyDescent="0.25">
      <c r="F172" s="105"/>
    </row>
    <row r="173" spans="6:6" x14ac:dyDescent="0.25">
      <c r="F173" s="105"/>
    </row>
    <row r="174" spans="6:6" x14ac:dyDescent="0.25">
      <c r="F174" s="105"/>
    </row>
    <row r="175" spans="6:6" x14ac:dyDescent="0.25">
      <c r="F175" s="105"/>
    </row>
    <row r="176" spans="6:6" x14ac:dyDescent="0.25">
      <c r="F176" s="105"/>
    </row>
    <row r="177" spans="6:6" x14ac:dyDescent="0.25">
      <c r="F177" s="105"/>
    </row>
    <row r="178" spans="6:6" x14ac:dyDescent="0.25">
      <c r="F178" s="105"/>
    </row>
    <row r="179" spans="6:6" x14ac:dyDescent="0.25">
      <c r="F179" s="105"/>
    </row>
    <row r="180" spans="6:6" x14ac:dyDescent="0.25">
      <c r="F180" s="105"/>
    </row>
    <row r="181" spans="6:6" x14ac:dyDescent="0.25">
      <c r="F181" s="105"/>
    </row>
    <row r="182" spans="6:6" x14ac:dyDescent="0.25">
      <c r="F182" s="105"/>
    </row>
    <row r="183" spans="6:6" x14ac:dyDescent="0.25">
      <c r="F183" s="105"/>
    </row>
    <row r="184" spans="6:6" x14ac:dyDescent="0.25">
      <c r="F184" s="105"/>
    </row>
    <row r="185" spans="6:6" x14ac:dyDescent="0.25">
      <c r="F185" s="105"/>
    </row>
    <row r="186" spans="6:6" x14ac:dyDescent="0.25">
      <c r="F186" s="105"/>
    </row>
    <row r="187" spans="6:6" x14ac:dyDescent="0.25">
      <c r="F187" s="105"/>
    </row>
    <row r="188" spans="6:6" x14ac:dyDescent="0.25">
      <c r="F188" s="105"/>
    </row>
    <row r="189" spans="6:6" x14ac:dyDescent="0.25">
      <c r="F189" s="105"/>
    </row>
    <row r="190" spans="6:6" x14ac:dyDescent="0.25">
      <c r="F190" s="105"/>
    </row>
    <row r="191" spans="6:6" x14ac:dyDescent="0.25">
      <c r="F191" s="105"/>
    </row>
    <row r="192" spans="6:6" x14ac:dyDescent="0.25">
      <c r="F192" s="105"/>
    </row>
    <row r="193" spans="6:6" x14ac:dyDescent="0.25">
      <c r="F193" s="105"/>
    </row>
    <row r="194" spans="6:6" x14ac:dyDescent="0.25">
      <c r="F194" s="105"/>
    </row>
    <row r="195" spans="6:6" x14ac:dyDescent="0.25">
      <c r="F195" s="105"/>
    </row>
    <row r="196" spans="6:6" x14ac:dyDescent="0.25">
      <c r="F196" s="105"/>
    </row>
    <row r="197" spans="6:6" x14ac:dyDescent="0.25">
      <c r="F197" s="105"/>
    </row>
    <row r="198" spans="6:6" x14ac:dyDescent="0.25">
      <c r="F198" s="105"/>
    </row>
    <row r="199" spans="6:6" x14ac:dyDescent="0.25">
      <c r="F199" s="105"/>
    </row>
    <row r="200" spans="6:6" x14ac:dyDescent="0.25">
      <c r="F200" s="105"/>
    </row>
    <row r="201" spans="6:6" x14ac:dyDescent="0.25">
      <c r="F201" s="105"/>
    </row>
    <row r="202" spans="6:6" x14ac:dyDescent="0.25">
      <c r="F202" s="105"/>
    </row>
    <row r="203" spans="6:6" x14ac:dyDescent="0.25">
      <c r="F203" s="105"/>
    </row>
    <row r="204" spans="6:6" x14ac:dyDescent="0.25">
      <c r="F204" s="105"/>
    </row>
    <row r="205" spans="6:6" x14ac:dyDescent="0.25">
      <c r="F205" s="105"/>
    </row>
  </sheetData>
  <sheetProtection selectLockedCells="1"/>
  <mergeCells count="5">
    <mergeCell ref="K1:M1"/>
    <mergeCell ref="M8:R8"/>
    <mergeCell ref="S8:X8"/>
    <mergeCell ref="J8:L8"/>
    <mergeCell ref="L6:M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T242"/>
  <sheetViews>
    <sheetView topLeftCell="B1" workbookViewId="0">
      <selection activeCell="I21" sqref="I21"/>
    </sheetView>
  </sheetViews>
  <sheetFormatPr defaultColWidth="9.140625" defaultRowHeight="15" x14ac:dyDescent="0.25"/>
  <cols>
    <col min="3" max="3" width="9.7109375" customWidth="1"/>
    <col min="4" max="4" width="10.85546875" customWidth="1"/>
    <col min="6" max="6" width="13.28515625" customWidth="1"/>
    <col min="14" max="14" width="11.5703125" bestFit="1" customWidth="1"/>
  </cols>
  <sheetData>
    <row r="1" spans="1:20" x14ac:dyDescent="0.25">
      <c r="B1" t="s">
        <v>64</v>
      </c>
      <c r="C1" t="s">
        <v>65</v>
      </c>
      <c r="M1" s="17">
        <v>44623</v>
      </c>
    </row>
    <row r="2" spans="1:20" x14ac:dyDescent="0.25">
      <c r="B2" t="s">
        <v>66</v>
      </c>
      <c r="C2" t="s">
        <v>67</v>
      </c>
      <c r="Q2" t="s">
        <v>68</v>
      </c>
      <c r="S2" t="s">
        <v>69</v>
      </c>
    </row>
    <row r="3" spans="1:20" x14ac:dyDescent="0.25">
      <c r="C3" t="s">
        <v>70</v>
      </c>
      <c r="D3" t="s">
        <v>71</v>
      </c>
      <c r="I3" s="19" t="s">
        <v>72</v>
      </c>
      <c r="M3" s="24">
        <v>73.8</v>
      </c>
      <c r="N3" t="s">
        <v>73</v>
      </c>
      <c r="O3" s="1">
        <v>0.22</v>
      </c>
    </row>
    <row r="4" spans="1:20" x14ac:dyDescent="0.25">
      <c r="A4">
        <v>0.33</v>
      </c>
      <c r="B4">
        <v>4</v>
      </c>
      <c r="C4">
        <v>4</v>
      </c>
      <c r="I4" s="19">
        <f>C4-B4</f>
        <v>0</v>
      </c>
      <c r="M4" s="24">
        <f>M3-32</f>
        <v>41.8</v>
      </c>
      <c r="N4">
        <f>M4/1.8</f>
        <v>23.222222222222221</v>
      </c>
    </row>
    <row r="5" spans="1:20" x14ac:dyDescent="0.25">
      <c r="A5">
        <v>1</v>
      </c>
      <c r="B5">
        <v>12</v>
      </c>
      <c r="C5">
        <v>12.002000000000001</v>
      </c>
      <c r="I5" s="19">
        <f>C5-B5</f>
        <v>2.0000000000006679E-3</v>
      </c>
      <c r="M5" t="s">
        <v>74</v>
      </c>
    </row>
    <row r="6" spans="1:20" x14ac:dyDescent="0.25">
      <c r="A6">
        <v>2</v>
      </c>
      <c r="B6">
        <v>24</v>
      </c>
      <c r="C6">
        <v>24.001999999999999</v>
      </c>
      <c r="D6">
        <f>C6+0</f>
        <v>24.001999999999999</v>
      </c>
      <c r="I6" s="19">
        <f>D6-B6</f>
        <v>1.9999999999988916E-3</v>
      </c>
      <c r="M6" t="s">
        <v>75</v>
      </c>
      <c r="N6" t="s">
        <v>76</v>
      </c>
      <c r="O6" t="s">
        <v>77</v>
      </c>
      <c r="R6" s="19" t="s">
        <v>27</v>
      </c>
      <c r="T6" t="s">
        <v>78</v>
      </c>
    </row>
    <row r="7" spans="1:20" x14ac:dyDescent="0.25">
      <c r="A7">
        <v>3</v>
      </c>
      <c r="B7">
        <v>36</v>
      </c>
      <c r="C7">
        <v>36.006999999999998</v>
      </c>
      <c r="D7">
        <f t="shared" ref="D7:D34" si="0">C7+0</f>
        <v>36.006999999999998</v>
      </c>
      <c r="I7" s="19">
        <f t="shared" ref="I7:I20" si="1">D7-B7</f>
        <v>6.9999999999978968E-3</v>
      </c>
      <c r="L7">
        <v>0.1</v>
      </c>
      <c r="M7">
        <v>100</v>
      </c>
      <c r="N7">
        <v>100.01</v>
      </c>
      <c r="O7">
        <f>N7</f>
        <v>100.01</v>
      </c>
      <c r="R7" s="19">
        <f>N7-M7</f>
        <v>1.0000000000005116E-2</v>
      </c>
      <c r="S7">
        <f t="shared" ref="S7:S16" si="2">R7*39.37</f>
        <v>0.39370000000020139</v>
      </c>
      <c r="T7">
        <f t="shared" ref="T7:T16" si="3">S7/1000</f>
        <v>3.9370000000020137E-4</v>
      </c>
    </row>
    <row r="8" spans="1:20" x14ac:dyDescent="0.25">
      <c r="A8">
        <v>4</v>
      </c>
      <c r="B8">
        <v>48</v>
      </c>
      <c r="C8">
        <v>48.006999999999998</v>
      </c>
      <c r="D8">
        <f t="shared" si="0"/>
        <v>48.006999999999998</v>
      </c>
      <c r="I8" s="19">
        <f t="shared" si="1"/>
        <v>6.9999999999978968E-3</v>
      </c>
      <c r="L8">
        <v>1</v>
      </c>
      <c r="M8">
        <v>1000</v>
      </c>
      <c r="N8">
        <v>1000.044</v>
      </c>
      <c r="O8">
        <f>N8</f>
        <v>1000.044</v>
      </c>
      <c r="R8" s="19">
        <f t="shared" ref="R8:R16" si="4">N8-M8</f>
        <v>4.399999999998272E-2</v>
      </c>
      <c r="S8">
        <f t="shared" si="2"/>
        <v>1.7322799999993195</v>
      </c>
      <c r="T8">
        <f t="shared" si="3"/>
        <v>1.7322799999993194E-3</v>
      </c>
    </row>
    <row r="9" spans="1:20" x14ac:dyDescent="0.25">
      <c r="A9">
        <v>5</v>
      </c>
      <c r="B9">
        <v>60</v>
      </c>
      <c r="C9">
        <v>60.003999999999998</v>
      </c>
      <c r="D9">
        <f t="shared" si="0"/>
        <v>60.003999999999998</v>
      </c>
      <c r="I9" s="19">
        <f t="shared" si="1"/>
        <v>3.9999999999977831E-3</v>
      </c>
      <c r="L9">
        <v>2</v>
      </c>
      <c r="M9">
        <v>2000</v>
      </c>
      <c r="N9">
        <v>2000.42</v>
      </c>
      <c r="O9">
        <f t="shared" ref="O9:O16" si="5">N9</f>
        <v>2000.42</v>
      </c>
      <c r="R9" s="19">
        <f>N9-M9</f>
        <v>0.42000000000007276</v>
      </c>
      <c r="S9">
        <f t="shared" si="2"/>
        <v>16.535400000002863</v>
      </c>
      <c r="T9">
        <f t="shared" si="3"/>
        <v>1.6535400000002861E-2</v>
      </c>
    </row>
    <row r="10" spans="1:20" x14ac:dyDescent="0.25">
      <c r="A10">
        <v>6</v>
      </c>
      <c r="B10">
        <v>72</v>
      </c>
      <c r="C10">
        <v>71.998000000000005</v>
      </c>
      <c r="D10">
        <f t="shared" si="0"/>
        <v>71.998000000000005</v>
      </c>
      <c r="I10" s="19">
        <f t="shared" si="1"/>
        <v>-1.9999999999953388E-3</v>
      </c>
      <c r="L10">
        <v>3</v>
      </c>
      <c r="M10">
        <v>3000</v>
      </c>
      <c r="N10">
        <v>3000.1129999999998</v>
      </c>
      <c r="O10">
        <f t="shared" si="5"/>
        <v>3000.1129999999998</v>
      </c>
      <c r="R10" s="19">
        <f t="shared" si="4"/>
        <v>0.11299999999982901</v>
      </c>
      <c r="S10">
        <f t="shared" si="2"/>
        <v>4.4488099999932684</v>
      </c>
      <c r="T10">
        <f t="shared" si="3"/>
        <v>4.4488099999932685E-3</v>
      </c>
    </row>
    <row r="11" spans="1:20" x14ac:dyDescent="0.25">
      <c r="A11">
        <v>7</v>
      </c>
      <c r="B11">
        <v>84</v>
      </c>
      <c r="C11">
        <v>83.998000000000005</v>
      </c>
      <c r="D11">
        <f t="shared" si="0"/>
        <v>83.998000000000005</v>
      </c>
      <c r="I11" s="19">
        <f t="shared" si="1"/>
        <v>-1.9999999999953388E-3</v>
      </c>
      <c r="L11">
        <v>4</v>
      </c>
      <c r="M11">
        <v>4000</v>
      </c>
      <c r="N11">
        <v>4000.2429999999999</v>
      </c>
      <c r="O11">
        <f t="shared" si="5"/>
        <v>4000.2429999999999</v>
      </c>
      <c r="R11" s="19">
        <f t="shared" si="4"/>
        <v>0.24299999999993815</v>
      </c>
      <c r="S11">
        <f t="shared" si="2"/>
        <v>9.5669099999975646</v>
      </c>
      <c r="T11">
        <f t="shared" si="3"/>
        <v>9.5669099999975641E-3</v>
      </c>
    </row>
    <row r="12" spans="1:20" x14ac:dyDescent="0.25">
      <c r="A12">
        <v>8</v>
      </c>
      <c r="B12">
        <v>96</v>
      </c>
      <c r="C12">
        <v>95.998000000000005</v>
      </c>
      <c r="D12">
        <f t="shared" si="0"/>
        <v>95.998000000000005</v>
      </c>
      <c r="I12" s="19">
        <f t="shared" si="1"/>
        <v>-1.9999999999953388E-3</v>
      </c>
      <c r="L12">
        <v>5</v>
      </c>
      <c r="M12">
        <v>5000</v>
      </c>
      <c r="N12">
        <f>$N$11+N26</f>
        <v>5000.6243999999997</v>
      </c>
      <c r="O12">
        <f t="shared" si="5"/>
        <v>5000.6243999999997</v>
      </c>
      <c r="R12" s="19">
        <f t="shared" si="4"/>
        <v>0.62439999999969586</v>
      </c>
      <c r="S12">
        <f t="shared" si="2"/>
        <v>24.582627999988024</v>
      </c>
      <c r="T12">
        <f t="shared" si="3"/>
        <v>2.4582627999988022E-2</v>
      </c>
    </row>
    <row r="13" spans="1:20" x14ac:dyDescent="0.25">
      <c r="A13">
        <v>9</v>
      </c>
      <c r="B13">
        <v>108</v>
      </c>
      <c r="C13">
        <v>107.995</v>
      </c>
      <c r="D13">
        <f t="shared" si="0"/>
        <v>107.995</v>
      </c>
      <c r="F13" s="20"/>
      <c r="G13" s="20"/>
      <c r="H13" s="20"/>
      <c r="I13" s="19">
        <f t="shared" si="1"/>
        <v>-4.9999999999954525E-3</v>
      </c>
      <c r="L13">
        <v>6</v>
      </c>
      <c r="M13">
        <v>6000</v>
      </c>
      <c r="N13">
        <f t="shared" ref="N13:N15" si="6">$N$11+N27</f>
        <v>6000.8397999999997</v>
      </c>
      <c r="O13">
        <f t="shared" si="5"/>
        <v>6000.8397999999997</v>
      </c>
      <c r="R13" s="19">
        <f t="shared" si="4"/>
        <v>0.83979999999974098</v>
      </c>
      <c r="S13">
        <f t="shared" si="2"/>
        <v>33.062925999989801</v>
      </c>
      <c r="T13">
        <f t="shared" si="3"/>
        <v>3.3062925999989799E-2</v>
      </c>
    </row>
    <row r="14" spans="1:20" x14ac:dyDescent="0.25">
      <c r="A14">
        <v>10</v>
      </c>
      <c r="B14">
        <v>120</v>
      </c>
      <c r="C14">
        <v>119.992</v>
      </c>
      <c r="D14">
        <f t="shared" si="0"/>
        <v>119.992</v>
      </c>
      <c r="F14" s="20"/>
      <c r="G14" s="20"/>
      <c r="H14" s="20"/>
      <c r="I14" s="19">
        <f t="shared" si="1"/>
        <v>-7.9999999999955662E-3</v>
      </c>
      <c r="L14">
        <v>7</v>
      </c>
      <c r="M14">
        <v>7000</v>
      </c>
      <c r="N14">
        <f t="shared" si="6"/>
        <v>7000.9607999999998</v>
      </c>
      <c r="O14">
        <f t="shared" si="5"/>
        <v>7000.9607999999998</v>
      </c>
      <c r="R14" s="19">
        <f t="shared" si="4"/>
        <v>0.96079999999983556</v>
      </c>
      <c r="S14">
        <f t="shared" si="2"/>
        <v>37.826695999993525</v>
      </c>
      <c r="T14">
        <f t="shared" si="3"/>
        <v>3.7826695999993526E-2</v>
      </c>
    </row>
    <row r="15" spans="1:20" x14ac:dyDescent="0.25">
      <c r="A15">
        <v>11</v>
      </c>
      <c r="B15">
        <v>132</v>
      </c>
      <c r="C15">
        <v>131.99799999999999</v>
      </c>
      <c r="D15">
        <f t="shared" si="0"/>
        <v>131.99799999999999</v>
      </c>
      <c r="I15" s="19">
        <f t="shared" si="1"/>
        <v>-2.0000000000095497E-3</v>
      </c>
      <c r="L15">
        <v>8</v>
      </c>
      <c r="M15">
        <v>8000</v>
      </c>
      <c r="N15">
        <f t="shared" si="6"/>
        <v>8000.9351999999999</v>
      </c>
      <c r="O15">
        <f t="shared" si="5"/>
        <v>8000.9351999999999</v>
      </c>
      <c r="R15" s="19">
        <f t="shared" si="4"/>
        <v>0.93519999999989523</v>
      </c>
      <c r="S15">
        <f t="shared" si="2"/>
        <v>36.818823999995871</v>
      </c>
      <c r="T15">
        <f t="shared" si="3"/>
        <v>3.6818823999995871E-2</v>
      </c>
    </row>
    <row r="16" spans="1:20" x14ac:dyDescent="0.25">
      <c r="A16">
        <v>12</v>
      </c>
      <c r="B16">
        <v>144</v>
      </c>
      <c r="C16">
        <v>143.99799999999999</v>
      </c>
      <c r="D16">
        <f t="shared" si="0"/>
        <v>143.99799999999999</v>
      </c>
      <c r="I16" s="19">
        <f t="shared" si="1"/>
        <v>-2.0000000000095497E-3</v>
      </c>
      <c r="L16">
        <v>9</v>
      </c>
      <c r="M16">
        <v>9000</v>
      </c>
      <c r="N16">
        <f>N30+N15</f>
        <v>9000.9441999999999</v>
      </c>
      <c r="O16">
        <f t="shared" si="5"/>
        <v>9000.9441999999999</v>
      </c>
      <c r="P16" s="18"/>
      <c r="R16" s="19">
        <f t="shared" si="4"/>
        <v>0.94419999999990978</v>
      </c>
      <c r="S16">
        <f t="shared" si="2"/>
        <v>37.173153999996444</v>
      </c>
      <c r="T16">
        <f t="shared" si="3"/>
        <v>3.7173153999996447E-2</v>
      </c>
    </row>
    <row r="17" spans="1:15" x14ac:dyDescent="0.25">
      <c r="A17">
        <v>13</v>
      </c>
      <c r="B17">
        <f>A17*12</f>
        <v>156</v>
      </c>
      <c r="C17">
        <v>156</v>
      </c>
      <c r="D17">
        <f t="shared" si="0"/>
        <v>156</v>
      </c>
      <c r="I17" s="19">
        <f t="shared" si="1"/>
        <v>0</v>
      </c>
    </row>
    <row r="18" spans="1:15" x14ac:dyDescent="0.25">
      <c r="A18">
        <v>14</v>
      </c>
      <c r="B18">
        <f t="shared" ref="B18:B34" si="7">A18*12</f>
        <v>168</v>
      </c>
      <c r="C18">
        <v>167.995</v>
      </c>
      <c r="D18">
        <f t="shared" si="0"/>
        <v>167.995</v>
      </c>
      <c r="I18" s="19">
        <f t="shared" si="1"/>
        <v>-4.9999999999954525E-3</v>
      </c>
      <c r="O18">
        <f>5000-R12</f>
        <v>4999.3756000000003</v>
      </c>
    </row>
    <row r="19" spans="1:15" x14ac:dyDescent="0.25">
      <c r="A19">
        <v>15</v>
      </c>
      <c r="B19">
        <f t="shared" si="7"/>
        <v>180</v>
      </c>
      <c r="C19">
        <v>179.995</v>
      </c>
      <c r="D19">
        <f t="shared" si="0"/>
        <v>179.995</v>
      </c>
      <c r="I19" s="19">
        <f t="shared" si="1"/>
        <v>-4.9999999999954525E-3</v>
      </c>
    </row>
    <row r="20" spans="1:15" x14ac:dyDescent="0.25">
      <c r="A20">
        <v>16</v>
      </c>
      <c r="B20">
        <f t="shared" si="7"/>
        <v>192</v>
      </c>
      <c r="C20">
        <v>192.00399999999999</v>
      </c>
      <c r="D20">
        <f t="shared" si="0"/>
        <v>192.00399999999999</v>
      </c>
      <c r="I20" s="19">
        <f t="shared" si="1"/>
        <v>3.9999999999906777E-3</v>
      </c>
    </row>
    <row r="21" spans="1:15" x14ac:dyDescent="0.25">
      <c r="A21">
        <v>17</v>
      </c>
      <c r="B21">
        <f t="shared" si="7"/>
        <v>204</v>
      </c>
      <c r="C21">
        <v>204.006</v>
      </c>
      <c r="D21">
        <f t="shared" si="0"/>
        <v>204.006</v>
      </c>
      <c r="I21" s="19">
        <f>D21-B21</f>
        <v>6.0000000000002274E-3</v>
      </c>
      <c r="J21" s="68">
        <v>2.2800000000000001E-2</v>
      </c>
    </row>
    <row r="22" spans="1:15" x14ac:dyDescent="0.25">
      <c r="A22">
        <v>18</v>
      </c>
      <c r="B22">
        <f t="shared" si="7"/>
        <v>216</v>
      </c>
      <c r="C22">
        <v>216.00700000000001</v>
      </c>
      <c r="D22">
        <f t="shared" si="0"/>
        <v>216.00700000000001</v>
      </c>
      <c r="I22" s="19">
        <f>D22-B22</f>
        <v>7.0000000000050022E-3</v>
      </c>
    </row>
    <row r="23" spans="1:15" x14ac:dyDescent="0.25">
      <c r="A23">
        <v>19</v>
      </c>
      <c r="B23">
        <f t="shared" si="7"/>
        <v>228</v>
      </c>
      <c r="C23">
        <v>228.005</v>
      </c>
      <c r="D23">
        <f t="shared" si="0"/>
        <v>228.005</v>
      </c>
      <c r="I23" s="19">
        <f t="shared" ref="I23:I34" si="8">D23-B23</f>
        <v>4.9999999999954525E-3</v>
      </c>
    </row>
    <row r="24" spans="1:15" x14ac:dyDescent="0.25">
      <c r="A24">
        <v>20</v>
      </c>
      <c r="B24">
        <f t="shared" si="7"/>
        <v>240</v>
      </c>
      <c r="C24">
        <v>240.005</v>
      </c>
      <c r="D24">
        <f t="shared" si="0"/>
        <v>240.005</v>
      </c>
      <c r="I24" s="19">
        <f t="shared" si="8"/>
        <v>4.9999999999954525E-3</v>
      </c>
    </row>
    <row r="25" spans="1:15" x14ac:dyDescent="0.25">
      <c r="A25">
        <v>21</v>
      </c>
      <c r="B25">
        <f t="shared" si="7"/>
        <v>252</v>
      </c>
      <c r="C25">
        <v>252.01</v>
      </c>
      <c r="D25">
        <f t="shared" si="0"/>
        <v>252.01</v>
      </c>
      <c r="I25" s="19">
        <f t="shared" si="8"/>
        <v>9.9999999999909051E-3</v>
      </c>
    </row>
    <row r="26" spans="1:15" x14ac:dyDescent="0.25">
      <c r="A26">
        <v>22</v>
      </c>
      <c r="B26">
        <f t="shared" si="7"/>
        <v>264</v>
      </c>
      <c r="C26">
        <v>264.00800000000004</v>
      </c>
      <c r="D26">
        <f t="shared" si="0"/>
        <v>264.00800000000004</v>
      </c>
      <c r="I26" s="19">
        <f t="shared" si="8"/>
        <v>8.0000000000381988E-3</v>
      </c>
      <c r="N26">
        <v>1000.3814</v>
      </c>
    </row>
    <row r="27" spans="1:15" x14ac:dyDescent="0.25">
      <c r="A27">
        <v>23</v>
      </c>
      <c r="B27">
        <f t="shared" si="7"/>
        <v>276</v>
      </c>
      <c r="C27">
        <v>276.01100000000002</v>
      </c>
      <c r="D27">
        <f t="shared" si="0"/>
        <v>276.01100000000002</v>
      </c>
      <c r="I27" s="19">
        <f t="shared" si="8"/>
        <v>1.1000000000024102E-2</v>
      </c>
      <c r="N27">
        <v>2000.5968</v>
      </c>
    </row>
    <row r="28" spans="1:15" x14ac:dyDescent="0.25">
      <c r="A28">
        <v>24</v>
      </c>
      <c r="B28">
        <f t="shared" si="7"/>
        <v>288</v>
      </c>
      <c r="C28">
        <v>288.01100000000002</v>
      </c>
      <c r="D28">
        <f t="shared" si="0"/>
        <v>288.01100000000002</v>
      </c>
      <c r="I28" s="19">
        <f t="shared" si="8"/>
        <v>1.1000000000024102E-2</v>
      </c>
      <c r="N28">
        <v>3000.7177999999999</v>
      </c>
    </row>
    <row r="29" spans="1:15" x14ac:dyDescent="0.25">
      <c r="A29">
        <v>25</v>
      </c>
      <c r="B29">
        <f t="shared" si="7"/>
        <v>300</v>
      </c>
      <c r="C29">
        <v>300.01100000000002</v>
      </c>
      <c r="D29">
        <f t="shared" si="0"/>
        <v>300.01100000000002</v>
      </c>
      <c r="I29" s="19">
        <f t="shared" si="8"/>
        <v>1.1000000000024102E-2</v>
      </c>
      <c r="N29">
        <v>4000.6922</v>
      </c>
    </row>
    <row r="30" spans="1:15" x14ac:dyDescent="0.25">
      <c r="A30">
        <v>26</v>
      </c>
      <c r="B30">
        <f t="shared" si="7"/>
        <v>312</v>
      </c>
      <c r="C30">
        <v>312.00900000000001</v>
      </c>
      <c r="D30">
        <f t="shared" si="0"/>
        <v>312.00900000000001</v>
      </c>
      <c r="I30" s="19">
        <f t="shared" si="8"/>
        <v>9.0000000000145519E-3</v>
      </c>
      <c r="N30">
        <v>1000.009</v>
      </c>
    </row>
    <row r="31" spans="1:15" x14ac:dyDescent="0.25">
      <c r="A31">
        <v>27</v>
      </c>
      <c r="B31">
        <f t="shared" si="7"/>
        <v>324</v>
      </c>
      <c r="C31">
        <v>324.00900000000001</v>
      </c>
      <c r="D31">
        <f t="shared" si="0"/>
        <v>324.00900000000001</v>
      </c>
      <c r="I31" s="19">
        <f t="shared" si="8"/>
        <v>9.0000000000145519E-3</v>
      </c>
    </row>
    <row r="32" spans="1:15" x14ac:dyDescent="0.25">
      <c r="A32">
        <v>28</v>
      </c>
      <c r="B32">
        <f t="shared" si="7"/>
        <v>336</v>
      </c>
      <c r="C32">
        <v>336.00700000000001</v>
      </c>
      <c r="D32">
        <f t="shared" si="0"/>
        <v>336.00700000000001</v>
      </c>
      <c r="I32" s="19">
        <f t="shared" si="8"/>
        <v>7.0000000000050022E-3</v>
      </c>
    </row>
    <row r="33" spans="1:12" x14ac:dyDescent="0.25">
      <c r="A33">
        <v>29</v>
      </c>
      <c r="B33">
        <f t="shared" si="7"/>
        <v>348</v>
      </c>
      <c r="C33">
        <v>347.99700000000001</v>
      </c>
      <c r="D33">
        <f t="shared" si="0"/>
        <v>347.99700000000001</v>
      </c>
      <c r="I33" s="19">
        <f t="shared" si="8"/>
        <v>-2.9999999999859028E-3</v>
      </c>
      <c r="J33" s="68">
        <v>2.47E-2</v>
      </c>
    </row>
    <row r="34" spans="1:12" x14ac:dyDescent="0.25">
      <c r="A34">
        <v>30</v>
      </c>
      <c r="B34">
        <f t="shared" si="7"/>
        <v>360</v>
      </c>
      <c r="C34">
        <v>359.99200000000002</v>
      </c>
      <c r="D34">
        <f t="shared" si="0"/>
        <v>359.99200000000002</v>
      </c>
      <c r="I34" s="19">
        <f t="shared" si="8"/>
        <v>-7.9999999999813554E-3</v>
      </c>
    </row>
    <row r="36" spans="1:12" s="23" customFormat="1" x14ac:dyDescent="0.25"/>
    <row r="39" spans="1:12" x14ac:dyDescent="0.25">
      <c r="B39" t="s">
        <v>64</v>
      </c>
    </row>
    <row r="40" spans="1:12" x14ac:dyDescent="0.25">
      <c r="B40" t="s">
        <v>66</v>
      </c>
      <c r="G40" t="s">
        <v>74</v>
      </c>
    </row>
    <row r="41" spans="1:12" x14ac:dyDescent="0.25">
      <c r="C41" s="19" t="s">
        <v>72</v>
      </c>
      <c r="D41" t="s">
        <v>79</v>
      </c>
      <c r="G41" t="s">
        <v>75</v>
      </c>
      <c r="H41" s="19" t="s">
        <v>27</v>
      </c>
      <c r="I41" t="s">
        <v>79</v>
      </c>
    </row>
    <row r="42" spans="1:12" x14ac:dyDescent="0.25">
      <c r="A42">
        <v>0.33</v>
      </c>
      <c r="B42">
        <v>4</v>
      </c>
      <c r="C42" s="19">
        <f>I4</f>
        <v>0</v>
      </c>
      <c r="D42">
        <f>C42+B42</f>
        <v>4</v>
      </c>
      <c r="G42">
        <v>100</v>
      </c>
      <c r="H42" s="19">
        <f>R7</f>
        <v>1.0000000000005116E-2</v>
      </c>
      <c r="I42">
        <f>H42+G42</f>
        <v>100.01</v>
      </c>
    </row>
    <row r="43" spans="1:12" x14ac:dyDescent="0.25">
      <c r="A43">
        <v>1</v>
      </c>
      <c r="B43">
        <v>12</v>
      </c>
      <c r="C43" s="19">
        <f t="shared" ref="C43:C72" si="9">I5</f>
        <v>2.0000000000006679E-3</v>
      </c>
      <c r="D43">
        <f t="shared" ref="D43:D106" si="10">C43+B43</f>
        <v>12.002000000000001</v>
      </c>
      <c r="G43">
        <v>1000</v>
      </c>
      <c r="H43" s="19">
        <f t="shared" ref="H43:H51" si="11">R8</f>
        <v>4.399999999998272E-2</v>
      </c>
      <c r="I43">
        <f t="shared" ref="I43:I51" si="12">H43+G43</f>
        <v>1000.044</v>
      </c>
      <c r="L43">
        <f>I43-1000</f>
        <v>4.399999999998272E-2</v>
      </c>
    </row>
    <row r="44" spans="1:12" x14ac:dyDescent="0.25">
      <c r="A44">
        <v>2</v>
      </c>
      <c r="B44">
        <v>24</v>
      </c>
      <c r="C44" s="19">
        <f t="shared" si="9"/>
        <v>1.9999999999988916E-3</v>
      </c>
      <c r="D44">
        <f>C44+B44</f>
        <v>24.001999999999999</v>
      </c>
      <c r="G44">
        <v>2000</v>
      </c>
      <c r="H44" s="19">
        <f t="shared" si="11"/>
        <v>0.42000000000007276</v>
      </c>
      <c r="I44">
        <f t="shared" si="12"/>
        <v>2000.42</v>
      </c>
      <c r="L44">
        <f>L43*1000</f>
        <v>43.99999999998272</v>
      </c>
    </row>
    <row r="45" spans="1:12" x14ac:dyDescent="0.25">
      <c r="A45">
        <v>3</v>
      </c>
      <c r="B45">
        <v>36</v>
      </c>
      <c r="C45" s="19">
        <f t="shared" si="9"/>
        <v>6.9999999999978968E-3</v>
      </c>
      <c r="D45">
        <f t="shared" si="10"/>
        <v>36.006999999999998</v>
      </c>
      <c r="G45">
        <v>3000</v>
      </c>
      <c r="H45" s="19">
        <f t="shared" si="11"/>
        <v>0.11299999999982901</v>
      </c>
      <c r="I45">
        <f t="shared" si="12"/>
        <v>3000.1129999999998</v>
      </c>
      <c r="L45">
        <f>L44*39.37</f>
        <v>1732.2799999993197</v>
      </c>
    </row>
    <row r="46" spans="1:12" x14ac:dyDescent="0.25">
      <c r="A46">
        <v>4</v>
      </c>
      <c r="B46">
        <v>48</v>
      </c>
      <c r="C46" s="19">
        <f t="shared" si="9"/>
        <v>6.9999999999978968E-3</v>
      </c>
      <c r="D46">
        <f t="shared" si="10"/>
        <v>48.006999999999998</v>
      </c>
      <c r="G46">
        <v>4000</v>
      </c>
      <c r="H46" s="19">
        <f t="shared" si="11"/>
        <v>0.24299999999993815</v>
      </c>
      <c r="I46">
        <f t="shared" si="12"/>
        <v>4000.2429999999999</v>
      </c>
    </row>
    <row r="47" spans="1:12" x14ac:dyDescent="0.25">
      <c r="A47">
        <v>5</v>
      </c>
      <c r="B47">
        <v>60</v>
      </c>
      <c r="C47" s="19">
        <f t="shared" si="9"/>
        <v>3.9999999999977831E-3</v>
      </c>
      <c r="D47">
        <f t="shared" si="10"/>
        <v>60.003999999999998</v>
      </c>
      <c r="G47">
        <v>5000</v>
      </c>
      <c r="H47" s="19">
        <f t="shared" si="11"/>
        <v>0.62439999999969586</v>
      </c>
      <c r="I47">
        <f t="shared" si="12"/>
        <v>5000.6243999999997</v>
      </c>
    </row>
    <row r="48" spans="1:12" x14ac:dyDescent="0.25">
      <c r="A48">
        <v>6</v>
      </c>
      <c r="B48">
        <v>72</v>
      </c>
      <c r="C48" s="19">
        <f t="shared" si="9"/>
        <v>-1.9999999999953388E-3</v>
      </c>
      <c r="D48">
        <f t="shared" si="10"/>
        <v>71.998000000000005</v>
      </c>
      <c r="G48">
        <v>6000</v>
      </c>
      <c r="H48" s="19">
        <f t="shared" si="11"/>
        <v>0.83979999999974098</v>
      </c>
      <c r="I48">
        <f t="shared" si="12"/>
        <v>6000.8397999999997</v>
      </c>
    </row>
    <row r="49" spans="1:9" x14ac:dyDescent="0.25">
      <c r="A49">
        <v>7</v>
      </c>
      <c r="B49">
        <v>84</v>
      </c>
      <c r="C49" s="19">
        <f t="shared" si="9"/>
        <v>-1.9999999999953388E-3</v>
      </c>
      <c r="D49">
        <f t="shared" si="10"/>
        <v>83.998000000000005</v>
      </c>
      <c r="G49">
        <v>7000</v>
      </c>
      <c r="H49" s="19">
        <f t="shared" si="11"/>
        <v>0.96079999999983556</v>
      </c>
      <c r="I49">
        <f t="shared" si="12"/>
        <v>7000.9607999999998</v>
      </c>
    </row>
    <row r="50" spans="1:9" x14ac:dyDescent="0.25">
      <c r="A50">
        <v>8</v>
      </c>
      <c r="B50">
        <v>96</v>
      </c>
      <c r="C50" s="19">
        <f t="shared" si="9"/>
        <v>-1.9999999999953388E-3</v>
      </c>
      <c r="D50">
        <f t="shared" si="10"/>
        <v>95.998000000000005</v>
      </c>
      <c r="G50">
        <v>8000</v>
      </c>
      <c r="H50" s="19">
        <f t="shared" si="11"/>
        <v>0.93519999999989523</v>
      </c>
      <c r="I50">
        <f t="shared" si="12"/>
        <v>8000.9351999999999</v>
      </c>
    </row>
    <row r="51" spans="1:9" x14ac:dyDescent="0.25">
      <c r="A51">
        <v>9</v>
      </c>
      <c r="B51">
        <v>108</v>
      </c>
      <c r="C51" s="19">
        <f t="shared" si="9"/>
        <v>-4.9999999999954525E-3</v>
      </c>
      <c r="D51">
        <f t="shared" si="10"/>
        <v>107.995</v>
      </c>
      <c r="G51">
        <v>9000</v>
      </c>
      <c r="H51" s="19">
        <f t="shared" si="11"/>
        <v>0.94419999999990978</v>
      </c>
      <c r="I51">
        <f t="shared" si="12"/>
        <v>9000.9441999999999</v>
      </c>
    </row>
    <row r="52" spans="1:9" x14ac:dyDescent="0.25">
      <c r="A52">
        <v>10</v>
      </c>
      <c r="B52">
        <v>120</v>
      </c>
      <c r="C52" s="19">
        <f t="shared" si="9"/>
        <v>-7.9999999999955662E-3</v>
      </c>
      <c r="D52">
        <f t="shared" si="10"/>
        <v>119.992</v>
      </c>
    </row>
    <row r="53" spans="1:9" x14ac:dyDescent="0.25">
      <c r="A53">
        <v>11</v>
      </c>
      <c r="B53">
        <v>132</v>
      </c>
      <c r="C53" s="19">
        <f t="shared" si="9"/>
        <v>-2.0000000000095497E-3</v>
      </c>
      <c r="D53">
        <f t="shared" si="10"/>
        <v>131.99799999999999</v>
      </c>
    </row>
    <row r="54" spans="1:9" x14ac:dyDescent="0.25">
      <c r="A54">
        <v>12</v>
      </c>
      <c r="B54">
        <v>144</v>
      </c>
      <c r="C54" s="19">
        <f t="shared" si="9"/>
        <v>-2.0000000000095497E-3</v>
      </c>
      <c r="D54">
        <f t="shared" si="10"/>
        <v>143.99799999999999</v>
      </c>
    </row>
    <row r="55" spans="1:9" x14ac:dyDescent="0.25">
      <c r="A55">
        <v>13</v>
      </c>
      <c r="B55">
        <f>A55*12</f>
        <v>156</v>
      </c>
      <c r="C55" s="19">
        <f t="shared" si="9"/>
        <v>0</v>
      </c>
      <c r="D55">
        <f t="shared" si="10"/>
        <v>156</v>
      </c>
    </row>
    <row r="56" spans="1:9" x14ac:dyDescent="0.25">
      <c r="A56">
        <v>14</v>
      </c>
      <c r="B56">
        <f t="shared" ref="B56:B119" si="13">A56*12</f>
        <v>168</v>
      </c>
      <c r="C56" s="19">
        <f t="shared" si="9"/>
        <v>-4.9999999999954525E-3</v>
      </c>
      <c r="D56">
        <f t="shared" si="10"/>
        <v>167.995</v>
      </c>
    </row>
    <row r="57" spans="1:9" x14ac:dyDescent="0.25">
      <c r="A57">
        <v>15</v>
      </c>
      <c r="B57">
        <f t="shared" si="13"/>
        <v>180</v>
      </c>
      <c r="C57" s="19">
        <f t="shared" si="9"/>
        <v>-4.9999999999954525E-3</v>
      </c>
      <c r="D57">
        <f t="shared" si="10"/>
        <v>179.995</v>
      </c>
    </row>
    <row r="58" spans="1:9" x14ac:dyDescent="0.25">
      <c r="A58">
        <v>16</v>
      </c>
      <c r="B58">
        <f t="shared" si="13"/>
        <v>192</v>
      </c>
      <c r="C58" s="19">
        <f t="shared" si="9"/>
        <v>3.9999999999906777E-3</v>
      </c>
      <c r="D58">
        <f t="shared" si="10"/>
        <v>192.00399999999999</v>
      </c>
    </row>
    <row r="59" spans="1:9" x14ac:dyDescent="0.25">
      <c r="A59">
        <v>17</v>
      </c>
      <c r="B59">
        <f t="shared" si="13"/>
        <v>204</v>
      </c>
      <c r="C59" s="19">
        <f t="shared" si="9"/>
        <v>6.0000000000002274E-3</v>
      </c>
      <c r="D59" s="68">
        <f t="shared" si="10"/>
        <v>204.006</v>
      </c>
    </row>
    <row r="60" spans="1:9" x14ac:dyDescent="0.25">
      <c r="A60">
        <v>18</v>
      </c>
      <c r="B60">
        <f t="shared" si="13"/>
        <v>216</v>
      </c>
      <c r="C60" s="19">
        <f t="shared" si="9"/>
        <v>7.0000000000050022E-3</v>
      </c>
      <c r="D60">
        <f t="shared" si="10"/>
        <v>216.00700000000001</v>
      </c>
    </row>
    <row r="61" spans="1:9" x14ac:dyDescent="0.25">
      <c r="A61">
        <v>19</v>
      </c>
      <c r="B61">
        <f t="shared" si="13"/>
        <v>228</v>
      </c>
      <c r="C61" s="19">
        <f t="shared" si="9"/>
        <v>4.9999999999954525E-3</v>
      </c>
      <c r="D61">
        <f t="shared" si="10"/>
        <v>228.005</v>
      </c>
    </row>
    <row r="62" spans="1:9" x14ac:dyDescent="0.25">
      <c r="A62">
        <v>20</v>
      </c>
      <c r="B62">
        <f t="shared" si="13"/>
        <v>240</v>
      </c>
      <c r="C62" s="19">
        <f t="shared" si="9"/>
        <v>4.9999999999954525E-3</v>
      </c>
      <c r="D62">
        <f t="shared" si="10"/>
        <v>240.005</v>
      </c>
    </row>
    <row r="63" spans="1:9" x14ac:dyDescent="0.25">
      <c r="A63">
        <v>21</v>
      </c>
      <c r="B63">
        <f t="shared" si="13"/>
        <v>252</v>
      </c>
      <c r="C63" s="19">
        <f t="shared" si="9"/>
        <v>9.9999999999909051E-3</v>
      </c>
      <c r="D63">
        <f t="shared" si="10"/>
        <v>252.01</v>
      </c>
    </row>
    <row r="64" spans="1:9" x14ac:dyDescent="0.25">
      <c r="A64">
        <v>22</v>
      </c>
      <c r="B64">
        <f t="shared" si="13"/>
        <v>264</v>
      </c>
      <c r="C64" s="19">
        <f t="shared" si="9"/>
        <v>8.0000000000381988E-3</v>
      </c>
      <c r="D64">
        <f t="shared" si="10"/>
        <v>264.00800000000004</v>
      </c>
    </row>
    <row r="65" spans="1:4" x14ac:dyDescent="0.25">
      <c r="A65">
        <v>23</v>
      </c>
      <c r="B65">
        <f t="shared" si="13"/>
        <v>276</v>
      </c>
      <c r="C65" s="19">
        <f t="shared" si="9"/>
        <v>1.1000000000024102E-2</v>
      </c>
      <c r="D65">
        <f t="shared" si="10"/>
        <v>276.01100000000002</v>
      </c>
    </row>
    <row r="66" spans="1:4" x14ac:dyDescent="0.25">
      <c r="A66">
        <v>24</v>
      </c>
      <c r="B66">
        <f t="shared" si="13"/>
        <v>288</v>
      </c>
      <c r="C66" s="19">
        <f t="shared" si="9"/>
        <v>1.1000000000024102E-2</v>
      </c>
      <c r="D66">
        <f t="shared" si="10"/>
        <v>288.01100000000002</v>
      </c>
    </row>
    <row r="67" spans="1:4" x14ac:dyDescent="0.25">
      <c r="A67">
        <v>25</v>
      </c>
      <c r="B67">
        <f t="shared" si="13"/>
        <v>300</v>
      </c>
      <c r="C67" s="19">
        <f t="shared" si="9"/>
        <v>1.1000000000024102E-2</v>
      </c>
      <c r="D67">
        <f t="shared" si="10"/>
        <v>300.01100000000002</v>
      </c>
    </row>
    <row r="68" spans="1:4" x14ac:dyDescent="0.25">
      <c r="A68">
        <v>26</v>
      </c>
      <c r="B68">
        <f t="shared" si="13"/>
        <v>312</v>
      </c>
      <c r="C68" s="19">
        <f t="shared" si="9"/>
        <v>9.0000000000145519E-3</v>
      </c>
      <c r="D68">
        <f t="shared" si="10"/>
        <v>312.00900000000001</v>
      </c>
    </row>
    <row r="69" spans="1:4" x14ac:dyDescent="0.25">
      <c r="A69">
        <v>27</v>
      </c>
      <c r="B69">
        <f t="shared" si="13"/>
        <v>324</v>
      </c>
      <c r="C69" s="19">
        <f t="shared" si="9"/>
        <v>9.0000000000145519E-3</v>
      </c>
      <c r="D69">
        <f t="shared" si="10"/>
        <v>324.00900000000001</v>
      </c>
    </row>
    <row r="70" spans="1:4" x14ac:dyDescent="0.25">
      <c r="A70">
        <v>28</v>
      </c>
      <c r="B70">
        <f t="shared" si="13"/>
        <v>336</v>
      </c>
      <c r="C70" s="19">
        <f t="shared" si="9"/>
        <v>7.0000000000050022E-3</v>
      </c>
      <c r="D70">
        <f t="shared" si="10"/>
        <v>336.00700000000001</v>
      </c>
    </row>
    <row r="71" spans="1:4" x14ac:dyDescent="0.25">
      <c r="A71">
        <v>29</v>
      </c>
      <c r="B71">
        <f t="shared" si="13"/>
        <v>348</v>
      </c>
      <c r="C71" s="19">
        <f t="shared" si="9"/>
        <v>-2.9999999999859028E-3</v>
      </c>
      <c r="D71" s="68">
        <f t="shared" si="10"/>
        <v>347.99700000000001</v>
      </c>
    </row>
    <row r="72" spans="1:4" x14ac:dyDescent="0.25">
      <c r="A72" s="69">
        <v>30</v>
      </c>
      <c r="B72" s="69">
        <f t="shared" si="13"/>
        <v>360</v>
      </c>
      <c r="C72" s="70">
        <f t="shared" si="9"/>
        <v>-7.9999999999813554E-3</v>
      </c>
      <c r="D72" s="69">
        <f t="shared" si="10"/>
        <v>359.99200000000002</v>
      </c>
    </row>
    <row r="73" spans="1:4" x14ac:dyDescent="0.25">
      <c r="A73">
        <v>31</v>
      </c>
      <c r="B73">
        <f t="shared" si="13"/>
        <v>372</v>
      </c>
      <c r="C73" s="19">
        <f>I5</f>
        <v>2.0000000000006679E-3</v>
      </c>
      <c r="D73">
        <f t="shared" si="10"/>
        <v>372.00200000000001</v>
      </c>
    </row>
    <row r="74" spans="1:4" x14ac:dyDescent="0.25">
      <c r="A74">
        <v>32</v>
      </c>
      <c r="B74">
        <f t="shared" si="13"/>
        <v>384</v>
      </c>
      <c r="C74" s="19">
        <f>I6</f>
        <v>1.9999999999988916E-3</v>
      </c>
      <c r="D74">
        <f t="shared" si="10"/>
        <v>384.00200000000001</v>
      </c>
    </row>
    <row r="75" spans="1:4" x14ac:dyDescent="0.25">
      <c r="A75">
        <v>33</v>
      </c>
      <c r="B75">
        <f t="shared" si="13"/>
        <v>396</v>
      </c>
      <c r="C75" s="19">
        <f t="shared" ref="C75:C102" si="14">I7</f>
        <v>6.9999999999978968E-3</v>
      </c>
      <c r="D75">
        <f t="shared" si="10"/>
        <v>396.00700000000001</v>
      </c>
    </row>
    <row r="76" spans="1:4" x14ac:dyDescent="0.25">
      <c r="A76">
        <v>34</v>
      </c>
      <c r="B76">
        <f t="shared" si="13"/>
        <v>408</v>
      </c>
      <c r="C76" s="19">
        <f t="shared" si="14"/>
        <v>6.9999999999978968E-3</v>
      </c>
      <c r="D76">
        <f t="shared" si="10"/>
        <v>408.00700000000001</v>
      </c>
    </row>
    <row r="77" spans="1:4" x14ac:dyDescent="0.25">
      <c r="A77">
        <v>35</v>
      </c>
      <c r="B77">
        <f t="shared" si="13"/>
        <v>420</v>
      </c>
      <c r="C77" s="19">
        <f t="shared" si="14"/>
        <v>3.9999999999977831E-3</v>
      </c>
      <c r="D77">
        <f t="shared" si="10"/>
        <v>420.00400000000002</v>
      </c>
    </row>
    <row r="78" spans="1:4" x14ac:dyDescent="0.25">
      <c r="A78">
        <v>36</v>
      </c>
      <c r="B78">
        <f t="shared" si="13"/>
        <v>432</v>
      </c>
      <c r="C78" s="19">
        <f t="shared" si="14"/>
        <v>-1.9999999999953388E-3</v>
      </c>
      <c r="D78">
        <f t="shared" si="10"/>
        <v>431.99799999999999</v>
      </c>
    </row>
    <row r="79" spans="1:4" x14ac:dyDescent="0.25">
      <c r="A79">
        <v>37</v>
      </c>
      <c r="B79">
        <f t="shared" si="13"/>
        <v>444</v>
      </c>
      <c r="C79" s="19">
        <f t="shared" si="14"/>
        <v>-1.9999999999953388E-3</v>
      </c>
      <c r="D79">
        <f t="shared" si="10"/>
        <v>443.99799999999999</v>
      </c>
    </row>
    <row r="80" spans="1:4" x14ac:dyDescent="0.25">
      <c r="A80">
        <v>38</v>
      </c>
      <c r="B80">
        <f t="shared" si="13"/>
        <v>456</v>
      </c>
      <c r="C80" s="19">
        <f t="shared" si="14"/>
        <v>-1.9999999999953388E-3</v>
      </c>
      <c r="D80">
        <f t="shared" si="10"/>
        <v>455.99799999999999</v>
      </c>
    </row>
    <row r="81" spans="1:4" x14ac:dyDescent="0.25">
      <c r="A81">
        <v>39</v>
      </c>
      <c r="B81">
        <f t="shared" si="13"/>
        <v>468</v>
      </c>
      <c r="C81" s="19">
        <f t="shared" si="14"/>
        <v>-4.9999999999954525E-3</v>
      </c>
      <c r="D81">
        <f t="shared" si="10"/>
        <v>467.995</v>
      </c>
    </row>
    <row r="82" spans="1:4" x14ac:dyDescent="0.25">
      <c r="A82">
        <v>40</v>
      </c>
      <c r="B82">
        <f t="shared" si="13"/>
        <v>480</v>
      </c>
      <c r="C82" s="19">
        <f t="shared" si="14"/>
        <v>-7.9999999999955662E-3</v>
      </c>
      <c r="D82">
        <f t="shared" si="10"/>
        <v>479.99200000000002</v>
      </c>
    </row>
    <row r="83" spans="1:4" x14ac:dyDescent="0.25">
      <c r="A83">
        <v>41</v>
      </c>
      <c r="B83">
        <f t="shared" si="13"/>
        <v>492</v>
      </c>
      <c r="C83" s="19">
        <f t="shared" si="14"/>
        <v>-2.0000000000095497E-3</v>
      </c>
      <c r="D83">
        <f t="shared" si="10"/>
        <v>491.99799999999999</v>
      </c>
    </row>
    <row r="84" spans="1:4" x14ac:dyDescent="0.25">
      <c r="A84">
        <v>42</v>
      </c>
      <c r="B84">
        <f t="shared" si="13"/>
        <v>504</v>
      </c>
      <c r="C84" s="19">
        <f t="shared" si="14"/>
        <v>-2.0000000000095497E-3</v>
      </c>
      <c r="D84">
        <f t="shared" si="10"/>
        <v>503.99799999999999</v>
      </c>
    </row>
    <row r="85" spans="1:4" x14ac:dyDescent="0.25">
      <c r="A85">
        <v>43</v>
      </c>
      <c r="B85">
        <f t="shared" si="13"/>
        <v>516</v>
      </c>
      <c r="C85" s="19">
        <f t="shared" si="14"/>
        <v>0</v>
      </c>
      <c r="D85">
        <f t="shared" si="10"/>
        <v>516</v>
      </c>
    </row>
    <row r="86" spans="1:4" x14ac:dyDescent="0.25">
      <c r="A86">
        <v>44</v>
      </c>
      <c r="B86">
        <f t="shared" si="13"/>
        <v>528</v>
      </c>
      <c r="C86" s="19">
        <f t="shared" si="14"/>
        <v>-4.9999999999954525E-3</v>
      </c>
      <c r="D86">
        <f t="shared" si="10"/>
        <v>527.995</v>
      </c>
    </row>
    <row r="87" spans="1:4" x14ac:dyDescent="0.25">
      <c r="A87">
        <v>45</v>
      </c>
      <c r="B87">
        <f t="shared" si="13"/>
        <v>540</v>
      </c>
      <c r="C87" s="19">
        <f t="shared" si="14"/>
        <v>-4.9999999999954525E-3</v>
      </c>
      <c r="D87">
        <f t="shared" si="10"/>
        <v>539.995</v>
      </c>
    </row>
    <row r="88" spans="1:4" x14ac:dyDescent="0.25">
      <c r="A88">
        <v>46</v>
      </c>
      <c r="B88">
        <f t="shared" si="13"/>
        <v>552</v>
      </c>
      <c r="C88" s="19">
        <f t="shared" si="14"/>
        <v>3.9999999999906777E-3</v>
      </c>
      <c r="D88">
        <f t="shared" si="10"/>
        <v>552.00400000000002</v>
      </c>
    </row>
    <row r="89" spans="1:4" x14ac:dyDescent="0.25">
      <c r="A89">
        <v>47</v>
      </c>
      <c r="B89">
        <f t="shared" si="13"/>
        <v>564</v>
      </c>
      <c r="C89" s="19">
        <f t="shared" si="14"/>
        <v>6.0000000000002274E-3</v>
      </c>
      <c r="D89" s="68">
        <f t="shared" si="10"/>
        <v>564.00599999999997</v>
      </c>
    </row>
    <row r="90" spans="1:4" x14ac:dyDescent="0.25">
      <c r="A90">
        <v>48</v>
      </c>
      <c r="B90">
        <f t="shared" si="13"/>
        <v>576</v>
      </c>
      <c r="C90" s="19">
        <f t="shared" si="14"/>
        <v>7.0000000000050022E-3</v>
      </c>
      <c r="D90">
        <f t="shared" si="10"/>
        <v>576.00700000000006</v>
      </c>
    </row>
    <row r="91" spans="1:4" x14ac:dyDescent="0.25">
      <c r="A91">
        <v>49</v>
      </c>
      <c r="B91">
        <f t="shared" si="13"/>
        <v>588</v>
      </c>
      <c r="C91" s="19">
        <f t="shared" si="14"/>
        <v>4.9999999999954525E-3</v>
      </c>
      <c r="D91">
        <f t="shared" si="10"/>
        <v>588.005</v>
      </c>
    </row>
    <row r="92" spans="1:4" x14ac:dyDescent="0.25">
      <c r="A92">
        <v>50</v>
      </c>
      <c r="B92">
        <f t="shared" si="13"/>
        <v>600</v>
      </c>
      <c r="C92" s="19">
        <f t="shared" si="14"/>
        <v>4.9999999999954525E-3</v>
      </c>
      <c r="D92">
        <f t="shared" si="10"/>
        <v>600.005</v>
      </c>
    </row>
    <row r="93" spans="1:4" x14ac:dyDescent="0.25">
      <c r="A93">
        <v>51</v>
      </c>
      <c r="B93">
        <f t="shared" si="13"/>
        <v>612</v>
      </c>
      <c r="C93" s="19">
        <f t="shared" si="14"/>
        <v>9.9999999999909051E-3</v>
      </c>
      <c r="D93">
        <f t="shared" si="10"/>
        <v>612.01</v>
      </c>
    </row>
    <row r="94" spans="1:4" x14ac:dyDescent="0.25">
      <c r="A94">
        <v>52</v>
      </c>
      <c r="B94">
        <f t="shared" si="13"/>
        <v>624</v>
      </c>
      <c r="C94" s="19">
        <f t="shared" si="14"/>
        <v>8.0000000000381988E-3</v>
      </c>
      <c r="D94">
        <f t="shared" si="10"/>
        <v>624.00800000000004</v>
      </c>
    </row>
    <row r="95" spans="1:4" x14ac:dyDescent="0.25">
      <c r="A95">
        <v>53</v>
      </c>
      <c r="B95">
        <f t="shared" si="13"/>
        <v>636</v>
      </c>
      <c r="C95" s="19">
        <f t="shared" si="14"/>
        <v>1.1000000000024102E-2</v>
      </c>
      <c r="D95">
        <f t="shared" si="10"/>
        <v>636.01099999999997</v>
      </c>
    </row>
    <row r="96" spans="1:4" x14ac:dyDescent="0.25">
      <c r="A96">
        <v>54</v>
      </c>
      <c r="B96">
        <f t="shared" si="13"/>
        <v>648</v>
      </c>
      <c r="C96" s="19">
        <f t="shared" si="14"/>
        <v>1.1000000000024102E-2</v>
      </c>
      <c r="D96">
        <f t="shared" si="10"/>
        <v>648.01099999999997</v>
      </c>
    </row>
    <row r="97" spans="1:4" x14ac:dyDescent="0.25">
      <c r="A97">
        <v>55</v>
      </c>
      <c r="B97">
        <f t="shared" si="13"/>
        <v>660</v>
      </c>
      <c r="C97" s="19">
        <f t="shared" si="14"/>
        <v>1.1000000000024102E-2</v>
      </c>
      <c r="D97">
        <f t="shared" si="10"/>
        <v>660.01099999999997</v>
      </c>
    </row>
    <row r="98" spans="1:4" x14ac:dyDescent="0.25">
      <c r="A98">
        <v>56</v>
      </c>
      <c r="B98">
        <f t="shared" si="13"/>
        <v>672</v>
      </c>
      <c r="C98" s="19">
        <f t="shared" si="14"/>
        <v>9.0000000000145519E-3</v>
      </c>
      <c r="D98">
        <f t="shared" si="10"/>
        <v>672.00900000000001</v>
      </c>
    </row>
    <row r="99" spans="1:4" x14ac:dyDescent="0.25">
      <c r="A99">
        <v>57</v>
      </c>
      <c r="B99">
        <f t="shared" si="13"/>
        <v>684</v>
      </c>
      <c r="C99" s="19">
        <f t="shared" si="14"/>
        <v>9.0000000000145519E-3</v>
      </c>
      <c r="D99">
        <f t="shared" si="10"/>
        <v>684.00900000000001</v>
      </c>
    </row>
    <row r="100" spans="1:4" x14ac:dyDescent="0.25">
      <c r="A100">
        <v>58</v>
      </c>
      <c r="B100">
        <f t="shared" si="13"/>
        <v>696</v>
      </c>
      <c r="C100" s="19">
        <f t="shared" si="14"/>
        <v>7.0000000000050022E-3</v>
      </c>
      <c r="D100">
        <f t="shared" si="10"/>
        <v>696.00700000000006</v>
      </c>
    </row>
    <row r="101" spans="1:4" x14ac:dyDescent="0.25">
      <c r="A101">
        <v>59</v>
      </c>
      <c r="B101">
        <f t="shared" si="13"/>
        <v>708</v>
      </c>
      <c r="C101" s="19">
        <f t="shared" si="14"/>
        <v>-2.9999999999859028E-3</v>
      </c>
      <c r="D101" s="68">
        <f t="shared" si="10"/>
        <v>707.99700000000007</v>
      </c>
    </row>
    <row r="102" spans="1:4" x14ac:dyDescent="0.25">
      <c r="A102" s="69">
        <v>60</v>
      </c>
      <c r="B102" s="69">
        <f t="shared" si="13"/>
        <v>720</v>
      </c>
      <c r="C102" s="19">
        <f t="shared" si="14"/>
        <v>-7.9999999999813554E-3</v>
      </c>
      <c r="D102">
        <f t="shared" si="10"/>
        <v>719.99199999999996</v>
      </c>
    </row>
    <row r="103" spans="1:4" x14ac:dyDescent="0.25">
      <c r="A103">
        <v>61</v>
      </c>
      <c r="B103">
        <f t="shared" si="13"/>
        <v>732</v>
      </c>
      <c r="C103">
        <f>I5</f>
        <v>2.0000000000006679E-3</v>
      </c>
      <c r="D103">
        <f t="shared" si="10"/>
        <v>732.00199999999995</v>
      </c>
    </row>
    <row r="104" spans="1:4" x14ac:dyDescent="0.25">
      <c r="A104">
        <v>62</v>
      </c>
      <c r="B104">
        <f t="shared" si="13"/>
        <v>744</v>
      </c>
      <c r="C104">
        <f>I6</f>
        <v>1.9999999999988916E-3</v>
      </c>
      <c r="D104">
        <f t="shared" si="10"/>
        <v>744.00199999999995</v>
      </c>
    </row>
    <row r="105" spans="1:4" x14ac:dyDescent="0.25">
      <c r="A105">
        <v>63</v>
      </c>
      <c r="B105">
        <f t="shared" si="13"/>
        <v>756</v>
      </c>
      <c r="C105">
        <f t="shared" ref="C105:C132" si="15">I7</f>
        <v>6.9999999999978968E-3</v>
      </c>
      <c r="D105">
        <f t="shared" si="10"/>
        <v>756.00699999999995</v>
      </c>
    </row>
    <row r="106" spans="1:4" x14ac:dyDescent="0.25">
      <c r="A106">
        <v>64</v>
      </c>
      <c r="B106">
        <f t="shared" si="13"/>
        <v>768</v>
      </c>
      <c r="C106">
        <f t="shared" si="15"/>
        <v>6.9999999999978968E-3</v>
      </c>
      <c r="D106">
        <f t="shared" si="10"/>
        <v>768.00699999999995</v>
      </c>
    </row>
    <row r="107" spans="1:4" x14ac:dyDescent="0.25">
      <c r="A107">
        <v>65</v>
      </c>
      <c r="B107">
        <f t="shared" si="13"/>
        <v>780</v>
      </c>
      <c r="C107">
        <f t="shared" si="15"/>
        <v>3.9999999999977831E-3</v>
      </c>
      <c r="D107">
        <f t="shared" ref="D107:D170" si="16">C107+B107</f>
        <v>780.00400000000002</v>
      </c>
    </row>
    <row r="108" spans="1:4" x14ac:dyDescent="0.25">
      <c r="A108">
        <v>66</v>
      </c>
      <c r="B108">
        <f t="shared" si="13"/>
        <v>792</v>
      </c>
      <c r="C108">
        <f t="shared" si="15"/>
        <v>-1.9999999999953388E-3</v>
      </c>
      <c r="D108">
        <f t="shared" si="16"/>
        <v>791.99800000000005</v>
      </c>
    </row>
    <row r="109" spans="1:4" x14ac:dyDescent="0.25">
      <c r="A109">
        <v>67</v>
      </c>
      <c r="B109">
        <f t="shared" si="13"/>
        <v>804</v>
      </c>
      <c r="C109">
        <f t="shared" si="15"/>
        <v>-1.9999999999953388E-3</v>
      </c>
      <c r="D109">
        <f t="shared" si="16"/>
        <v>803.99800000000005</v>
      </c>
    </row>
    <row r="110" spans="1:4" x14ac:dyDescent="0.25">
      <c r="A110">
        <v>68</v>
      </c>
      <c r="B110">
        <f t="shared" si="13"/>
        <v>816</v>
      </c>
      <c r="C110">
        <f t="shared" si="15"/>
        <v>-1.9999999999953388E-3</v>
      </c>
      <c r="D110">
        <f t="shared" si="16"/>
        <v>815.99800000000005</v>
      </c>
    </row>
    <row r="111" spans="1:4" x14ac:dyDescent="0.25">
      <c r="A111">
        <v>69</v>
      </c>
      <c r="B111">
        <f t="shared" si="13"/>
        <v>828</v>
      </c>
      <c r="C111">
        <f t="shared" si="15"/>
        <v>-4.9999999999954525E-3</v>
      </c>
      <c r="D111">
        <f t="shared" si="16"/>
        <v>827.995</v>
      </c>
    </row>
    <row r="112" spans="1:4" x14ac:dyDescent="0.25">
      <c r="A112">
        <v>70</v>
      </c>
      <c r="B112">
        <f t="shared" si="13"/>
        <v>840</v>
      </c>
      <c r="C112">
        <f t="shared" si="15"/>
        <v>-7.9999999999955662E-3</v>
      </c>
      <c r="D112">
        <f t="shared" si="16"/>
        <v>839.99199999999996</v>
      </c>
    </row>
    <row r="113" spans="1:4" x14ac:dyDescent="0.25">
      <c r="A113">
        <v>71</v>
      </c>
      <c r="B113">
        <f t="shared" si="13"/>
        <v>852</v>
      </c>
      <c r="C113">
        <f t="shared" si="15"/>
        <v>-2.0000000000095497E-3</v>
      </c>
      <c r="D113">
        <f t="shared" si="16"/>
        <v>851.99800000000005</v>
      </c>
    </row>
    <row r="114" spans="1:4" x14ac:dyDescent="0.25">
      <c r="A114">
        <v>72</v>
      </c>
      <c r="B114">
        <f t="shared" si="13"/>
        <v>864</v>
      </c>
      <c r="C114">
        <f t="shared" si="15"/>
        <v>-2.0000000000095497E-3</v>
      </c>
      <c r="D114">
        <f t="shared" si="16"/>
        <v>863.99800000000005</v>
      </c>
    </row>
    <row r="115" spans="1:4" x14ac:dyDescent="0.25">
      <c r="A115">
        <v>73</v>
      </c>
      <c r="B115">
        <f t="shared" si="13"/>
        <v>876</v>
      </c>
      <c r="C115">
        <f t="shared" si="15"/>
        <v>0</v>
      </c>
      <c r="D115">
        <f t="shared" si="16"/>
        <v>876</v>
      </c>
    </row>
    <row r="116" spans="1:4" x14ac:dyDescent="0.25">
      <c r="A116">
        <v>74</v>
      </c>
      <c r="B116">
        <f t="shared" si="13"/>
        <v>888</v>
      </c>
      <c r="C116">
        <f t="shared" si="15"/>
        <v>-4.9999999999954525E-3</v>
      </c>
      <c r="D116">
        <f t="shared" si="16"/>
        <v>887.995</v>
      </c>
    </row>
    <row r="117" spans="1:4" x14ac:dyDescent="0.25">
      <c r="A117">
        <v>75</v>
      </c>
      <c r="B117">
        <f t="shared" si="13"/>
        <v>900</v>
      </c>
      <c r="C117">
        <f t="shared" si="15"/>
        <v>-4.9999999999954525E-3</v>
      </c>
      <c r="D117">
        <f t="shared" si="16"/>
        <v>899.995</v>
      </c>
    </row>
    <row r="118" spans="1:4" x14ac:dyDescent="0.25">
      <c r="A118">
        <v>76</v>
      </c>
      <c r="B118">
        <f t="shared" si="13"/>
        <v>912</v>
      </c>
      <c r="C118">
        <f t="shared" si="15"/>
        <v>3.9999999999906777E-3</v>
      </c>
      <c r="D118">
        <f t="shared" si="16"/>
        <v>912.00400000000002</v>
      </c>
    </row>
    <row r="119" spans="1:4" x14ac:dyDescent="0.25">
      <c r="A119">
        <v>77</v>
      </c>
      <c r="B119">
        <f t="shared" si="13"/>
        <v>924</v>
      </c>
      <c r="C119">
        <f t="shared" si="15"/>
        <v>6.0000000000002274E-3</v>
      </c>
      <c r="D119" s="68">
        <f t="shared" si="16"/>
        <v>924.00599999999997</v>
      </c>
    </row>
    <row r="120" spans="1:4" x14ac:dyDescent="0.25">
      <c r="A120">
        <v>78</v>
      </c>
      <c r="B120">
        <f t="shared" ref="B120:B183" si="17">A120*12</f>
        <v>936</v>
      </c>
      <c r="C120">
        <f t="shared" si="15"/>
        <v>7.0000000000050022E-3</v>
      </c>
      <c r="D120">
        <f t="shared" si="16"/>
        <v>936.00700000000006</v>
      </c>
    </row>
    <row r="121" spans="1:4" x14ac:dyDescent="0.25">
      <c r="A121">
        <v>79</v>
      </c>
      <c r="B121">
        <f t="shared" si="17"/>
        <v>948</v>
      </c>
      <c r="C121">
        <f t="shared" si="15"/>
        <v>4.9999999999954525E-3</v>
      </c>
      <c r="D121">
        <f t="shared" si="16"/>
        <v>948.005</v>
      </c>
    </row>
    <row r="122" spans="1:4" x14ac:dyDescent="0.25">
      <c r="A122">
        <v>80</v>
      </c>
      <c r="B122">
        <f t="shared" si="17"/>
        <v>960</v>
      </c>
      <c r="C122">
        <f t="shared" si="15"/>
        <v>4.9999999999954525E-3</v>
      </c>
      <c r="D122">
        <f t="shared" si="16"/>
        <v>960.005</v>
      </c>
    </row>
    <row r="123" spans="1:4" x14ac:dyDescent="0.25">
      <c r="A123">
        <v>81</v>
      </c>
      <c r="B123">
        <f t="shared" si="17"/>
        <v>972</v>
      </c>
      <c r="C123">
        <f t="shared" si="15"/>
        <v>9.9999999999909051E-3</v>
      </c>
      <c r="D123">
        <f t="shared" si="16"/>
        <v>972.01</v>
      </c>
    </row>
    <row r="124" spans="1:4" x14ac:dyDescent="0.25">
      <c r="A124">
        <v>82</v>
      </c>
      <c r="B124">
        <f t="shared" si="17"/>
        <v>984</v>
      </c>
      <c r="C124">
        <f t="shared" si="15"/>
        <v>8.0000000000381988E-3</v>
      </c>
      <c r="D124">
        <f t="shared" si="16"/>
        <v>984.00800000000004</v>
      </c>
    </row>
    <row r="125" spans="1:4" x14ac:dyDescent="0.25">
      <c r="A125">
        <v>83</v>
      </c>
      <c r="B125">
        <f t="shared" si="17"/>
        <v>996</v>
      </c>
      <c r="C125">
        <f t="shared" si="15"/>
        <v>1.1000000000024102E-2</v>
      </c>
      <c r="D125">
        <f t="shared" si="16"/>
        <v>996.01099999999997</v>
      </c>
    </row>
    <row r="126" spans="1:4" x14ac:dyDescent="0.25">
      <c r="A126">
        <v>84</v>
      </c>
      <c r="B126">
        <f t="shared" si="17"/>
        <v>1008</v>
      </c>
      <c r="C126">
        <f t="shared" si="15"/>
        <v>1.1000000000024102E-2</v>
      </c>
      <c r="D126">
        <f t="shared" si="16"/>
        <v>1008.011</v>
      </c>
    </row>
    <row r="127" spans="1:4" x14ac:dyDescent="0.25">
      <c r="A127">
        <v>85</v>
      </c>
      <c r="B127">
        <f t="shared" si="17"/>
        <v>1020</v>
      </c>
      <c r="C127">
        <f t="shared" si="15"/>
        <v>1.1000000000024102E-2</v>
      </c>
      <c r="D127">
        <f t="shared" si="16"/>
        <v>1020.011</v>
      </c>
    </row>
    <row r="128" spans="1:4" x14ac:dyDescent="0.25">
      <c r="A128">
        <v>86</v>
      </c>
      <c r="B128">
        <f t="shared" si="17"/>
        <v>1032</v>
      </c>
      <c r="C128">
        <f t="shared" si="15"/>
        <v>9.0000000000145519E-3</v>
      </c>
      <c r="D128">
        <f t="shared" si="16"/>
        <v>1032.009</v>
      </c>
    </row>
    <row r="129" spans="1:4" x14ac:dyDescent="0.25">
      <c r="A129">
        <v>87</v>
      </c>
      <c r="B129">
        <f t="shared" si="17"/>
        <v>1044</v>
      </c>
      <c r="C129">
        <f t="shared" si="15"/>
        <v>9.0000000000145519E-3</v>
      </c>
      <c r="D129">
        <f t="shared" si="16"/>
        <v>1044.009</v>
      </c>
    </row>
    <row r="130" spans="1:4" x14ac:dyDescent="0.25">
      <c r="A130">
        <v>88</v>
      </c>
      <c r="B130">
        <f t="shared" si="17"/>
        <v>1056</v>
      </c>
      <c r="C130">
        <f t="shared" si="15"/>
        <v>7.0000000000050022E-3</v>
      </c>
      <c r="D130">
        <f t="shared" si="16"/>
        <v>1056.0070000000001</v>
      </c>
    </row>
    <row r="131" spans="1:4" x14ac:dyDescent="0.25">
      <c r="A131">
        <v>89</v>
      </c>
      <c r="B131">
        <f t="shared" si="17"/>
        <v>1068</v>
      </c>
      <c r="C131">
        <f t="shared" si="15"/>
        <v>-2.9999999999859028E-3</v>
      </c>
      <c r="D131" s="68">
        <f t="shared" si="16"/>
        <v>1067.9970000000001</v>
      </c>
    </row>
    <row r="132" spans="1:4" x14ac:dyDescent="0.25">
      <c r="A132" s="69">
        <v>90</v>
      </c>
      <c r="B132" s="69">
        <f t="shared" si="17"/>
        <v>1080</v>
      </c>
      <c r="C132">
        <f t="shared" si="15"/>
        <v>-7.9999999999813554E-3</v>
      </c>
      <c r="D132" s="69">
        <f t="shared" si="16"/>
        <v>1079.992</v>
      </c>
    </row>
    <row r="133" spans="1:4" x14ac:dyDescent="0.25">
      <c r="A133">
        <v>91</v>
      </c>
      <c r="B133">
        <f t="shared" si="17"/>
        <v>1092</v>
      </c>
      <c r="C133">
        <f>I5</f>
        <v>2.0000000000006679E-3</v>
      </c>
      <c r="D133">
        <f t="shared" si="16"/>
        <v>1092.002</v>
      </c>
    </row>
    <row r="134" spans="1:4" x14ac:dyDescent="0.25">
      <c r="A134">
        <v>92</v>
      </c>
      <c r="B134">
        <f t="shared" si="17"/>
        <v>1104</v>
      </c>
      <c r="C134">
        <f>I6</f>
        <v>1.9999999999988916E-3</v>
      </c>
      <c r="D134">
        <f t="shared" si="16"/>
        <v>1104.002</v>
      </c>
    </row>
    <row r="135" spans="1:4" x14ac:dyDescent="0.25">
      <c r="A135">
        <v>93</v>
      </c>
      <c r="B135">
        <f t="shared" si="17"/>
        <v>1116</v>
      </c>
      <c r="C135">
        <f t="shared" ref="C135:C162" si="18">I7</f>
        <v>6.9999999999978968E-3</v>
      </c>
      <c r="D135">
        <f t="shared" si="16"/>
        <v>1116.0070000000001</v>
      </c>
    </row>
    <row r="136" spans="1:4" x14ac:dyDescent="0.25">
      <c r="A136">
        <v>94</v>
      </c>
      <c r="B136">
        <f t="shared" si="17"/>
        <v>1128</v>
      </c>
      <c r="C136">
        <f t="shared" si="18"/>
        <v>6.9999999999978968E-3</v>
      </c>
      <c r="D136">
        <f t="shared" si="16"/>
        <v>1128.0070000000001</v>
      </c>
    </row>
    <row r="137" spans="1:4" x14ac:dyDescent="0.25">
      <c r="A137">
        <v>95</v>
      </c>
      <c r="B137">
        <f t="shared" si="17"/>
        <v>1140</v>
      </c>
      <c r="C137">
        <f t="shared" si="18"/>
        <v>3.9999999999977831E-3</v>
      </c>
      <c r="D137">
        <f t="shared" si="16"/>
        <v>1140.0039999999999</v>
      </c>
    </row>
    <row r="138" spans="1:4" x14ac:dyDescent="0.25">
      <c r="A138">
        <v>96</v>
      </c>
      <c r="B138">
        <f t="shared" si="17"/>
        <v>1152</v>
      </c>
      <c r="C138">
        <f t="shared" si="18"/>
        <v>-1.9999999999953388E-3</v>
      </c>
      <c r="D138">
        <f t="shared" si="16"/>
        <v>1151.998</v>
      </c>
    </row>
    <row r="139" spans="1:4" x14ac:dyDescent="0.25">
      <c r="A139">
        <v>97</v>
      </c>
      <c r="B139">
        <f t="shared" si="17"/>
        <v>1164</v>
      </c>
      <c r="C139">
        <f t="shared" si="18"/>
        <v>-1.9999999999953388E-3</v>
      </c>
      <c r="D139">
        <f t="shared" si="16"/>
        <v>1163.998</v>
      </c>
    </row>
    <row r="140" spans="1:4" x14ac:dyDescent="0.25">
      <c r="A140">
        <v>98</v>
      </c>
      <c r="B140">
        <f t="shared" si="17"/>
        <v>1176</v>
      </c>
      <c r="C140">
        <f t="shared" si="18"/>
        <v>-1.9999999999953388E-3</v>
      </c>
      <c r="D140">
        <f t="shared" si="16"/>
        <v>1175.998</v>
      </c>
    </row>
    <row r="141" spans="1:4" x14ac:dyDescent="0.25">
      <c r="A141">
        <v>99</v>
      </c>
      <c r="B141">
        <f t="shared" si="17"/>
        <v>1188</v>
      </c>
      <c r="C141">
        <f t="shared" si="18"/>
        <v>-4.9999999999954525E-3</v>
      </c>
      <c r="D141">
        <f t="shared" si="16"/>
        <v>1187.9949999999999</v>
      </c>
    </row>
    <row r="142" spans="1:4" x14ac:dyDescent="0.25">
      <c r="A142">
        <v>100</v>
      </c>
      <c r="B142">
        <f t="shared" si="17"/>
        <v>1200</v>
      </c>
      <c r="C142">
        <f t="shared" si="18"/>
        <v>-7.9999999999955662E-3</v>
      </c>
      <c r="D142">
        <f t="shared" si="16"/>
        <v>1199.992</v>
      </c>
    </row>
    <row r="143" spans="1:4" x14ac:dyDescent="0.25">
      <c r="A143">
        <v>101</v>
      </c>
      <c r="B143">
        <f t="shared" si="17"/>
        <v>1212</v>
      </c>
      <c r="C143">
        <f t="shared" si="18"/>
        <v>-2.0000000000095497E-3</v>
      </c>
      <c r="D143">
        <f t="shared" si="16"/>
        <v>1211.998</v>
      </c>
    </row>
    <row r="144" spans="1:4" x14ac:dyDescent="0.25">
      <c r="A144">
        <v>102</v>
      </c>
      <c r="B144">
        <f t="shared" si="17"/>
        <v>1224</v>
      </c>
      <c r="C144">
        <f t="shared" si="18"/>
        <v>-2.0000000000095497E-3</v>
      </c>
      <c r="D144">
        <f t="shared" si="16"/>
        <v>1223.998</v>
      </c>
    </row>
    <row r="145" spans="1:4" x14ac:dyDescent="0.25">
      <c r="A145">
        <v>103</v>
      </c>
      <c r="B145">
        <f t="shared" si="17"/>
        <v>1236</v>
      </c>
      <c r="C145">
        <f t="shared" si="18"/>
        <v>0</v>
      </c>
      <c r="D145">
        <f t="shared" si="16"/>
        <v>1236</v>
      </c>
    </row>
    <row r="146" spans="1:4" x14ac:dyDescent="0.25">
      <c r="A146">
        <v>104</v>
      </c>
      <c r="B146">
        <f t="shared" si="17"/>
        <v>1248</v>
      </c>
      <c r="C146">
        <f t="shared" si="18"/>
        <v>-4.9999999999954525E-3</v>
      </c>
      <c r="D146">
        <f t="shared" si="16"/>
        <v>1247.9949999999999</v>
      </c>
    </row>
    <row r="147" spans="1:4" x14ac:dyDescent="0.25">
      <c r="A147">
        <v>105</v>
      </c>
      <c r="B147">
        <f t="shared" si="17"/>
        <v>1260</v>
      </c>
      <c r="C147">
        <f t="shared" si="18"/>
        <v>-4.9999999999954525E-3</v>
      </c>
      <c r="D147">
        <f t="shared" si="16"/>
        <v>1259.9949999999999</v>
      </c>
    </row>
    <row r="148" spans="1:4" x14ac:dyDescent="0.25">
      <c r="A148">
        <v>106</v>
      </c>
      <c r="B148">
        <f t="shared" si="17"/>
        <v>1272</v>
      </c>
      <c r="C148">
        <f t="shared" si="18"/>
        <v>3.9999999999906777E-3</v>
      </c>
      <c r="D148">
        <f t="shared" si="16"/>
        <v>1272.0039999999999</v>
      </c>
    </row>
    <row r="149" spans="1:4" x14ac:dyDescent="0.25">
      <c r="A149">
        <v>107</v>
      </c>
      <c r="B149">
        <f t="shared" si="17"/>
        <v>1284</v>
      </c>
      <c r="C149">
        <f t="shared" si="18"/>
        <v>6.0000000000002274E-3</v>
      </c>
      <c r="D149" s="68">
        <f t="shared" si="16"/>
        <v>1284.0060000000001</v>
      </c>
    </row>
    <row r="150" spans="1:4" x14ac:dyDescent="0.25">
      <c r="A150">
        <v>108</v>
      </c>
      <c r="B150">
        <f t="shared" si="17"/>
        <v>1296</v>
      </c>
      <c r="C150">
        <f t="shared" si="18"/>
        <v>7.0000000000050022E-3</v>
      </c>
      <c r="D150">
        <f t="shared" si="16"/>
        <v>1296.0070000000001</v>
      </c>
    </row>
    <row r="151" spans="1:4" x14ac:dyDescent="0.25">
      <c r="A151">
        <v>109</v>
      </c>
      <c r="B151">
        <f t="shared" si="17"/>
        <v>1308</v>
      </c>
      <c r="C151">
        <f t="shared" si="18"/>
        <v>4.9999999999954525E-3</v>
      </c>
      <c r="D151">
        <f t="shared" si="16"/>
        <v>1308.0050000000001</v>
      </c>
    </row>
    <row r="152" spans="1:4" x14ac:dyDescent="0.25">
      <c r="A152">
        <v>110</v>
      </c>
      <c r="B152">
        <f t="shared" si="17"/>
        <v>1320</v>
      </c>
      <c r="C152">
        <f t="shared" si="18"/>
        <v>4.9999999999954525E-3</v>
      </c>
      <c r="D152">
        <f t="shared" si="16"/>
        <v>1320.0050000000001</v>
      </c>
    </row>
    <row r="153" spans="1:4" x14ac:dyDescent="0.25">
      <c r="A153">
        <v>111</v>
      </c>
      <c r="B153">
        <f t="shared" si="17"/>
        <v>1332</v>
      </c>
      <c r="C153">
        <f t="shared" si="18"/>
        <v>9.9999999999909051E-3</v>
      </c>
      <c r="D153">
        <f t="shared" si="16"/>
        <v>1332.01</v>
      </c>
    </row>
    <row r="154" spans="1:4" x14ac:dyDescent="0.25">
      <c r="A154">
        <v>112</v>
      </c>
      <c r="B154">
        <f t="shared" si="17"/>
        <v>1344</v>
      </c>
      <c r="C154">
        <f t="shared" si="18"/>
        <v>8.0000000000381988E-3</v>
      </c>
      <c r="D154">
        <f t="shared" si="16"/>
        <v>1344.008</v>
      </c>
    </row>
    <row r="155" spans="1:4" x14ac:dyDescent="0.25">
      <c r="A155">
        <v>113</v>
      </c>
      <c r="B155">
        <f t="shared" si="17"/>
        <v>1356</v>
      </c>
      <c r="C155">
        <f t="shared" si="18"/>
        <v>1.1000000000024102E-2</v>
      </c>
      <c r="D155">
        <f t="shared" si="16"/>
        <v>1356.011</v>
      </c>
    </row>
    <row r="156" spans="1:4" x14ac:dyDescent="0.25">
      <c r="A156">
        <v>114</v>
      </c>
      <c r="B156">
        <f t="shared" si="17"/>
        <v>1368</v>
      </c>
      <c r="C156">
        <f t="shared" si="18"/>
        <v>1.1000000000024102E-2</v>
      </c>
      <c r="D156">
        <f t="shared" si="16"/>
        <v>1368.011</v>
      </c>
    </row>
    <row r="157" spans="1:4" x14ac:dyDescent="0.25">
      <c r="A157">
        <v>115</v>
      </c>
      <c r="B157">
        <f t="shared" si="17"/>
        <v>1380</v>
      </c>
      <c r="C157">
        <f t="shared" si="18"/>
        <v>1.1000000000024102E-2</v>
      </c>
      <c r="D157">
        <f t="shared" si="16"/>
        <v>1380.011</v>
      </c>
    </row>
    <row r="158" spans="1:4" x14ac:dyDescent="0.25">
      <c r="A158">
        <v>116</v>
      </c>
      <c r="B158">
        <f t="shared" si="17"/>
        <v>1392</v>
      </c>
      <c r="C158">
        <f t="shared" si="18"/>
        <v>9.0000000000145519E-3</v>
      </c>
      <c r="D158">
        <f t="shared" si="16"/>
        <v>1392.009</v>
      </c>
    </row>
    <row r="159" spans="1:4" x14ac:dyDescent="0.25">
      <c r="A159">
        <v>117</v>
      </c>
      <c r="B159">
        <f t="shared" si="17"/>
        <v>1404</v>
      </c>
      <c r="C159">
        <f t="shared" si="18"/>
        <v>9.0000000000145519E-3</v>
      </c>
      <c r="D159">
        <f t="shared" si="16"/>
        <v>1404.009</v>
      </c>
    </row>
    <row r="160" spans="1:4" x14ac:dyDescent="0.25">
      <c r="A160">
        <v>118</v>
      </c>
      <c r="B160">
        <f t="shared" si="17"/>
        <v>1416</v>
      </c>
      <c r="C160">
        <f t="shared" si="18"/>
        <v>7.0000000000050022E-3</v>
      </c>
      <c r="D160">
        <f t="shared" si="16"/>
        <v>1416.0070000000001</v>
      </c>
    </row>
    <row r="161" spans="1:4" x14ac:dyDescent="0.25">
      <c r="A161">
        <v>119</v>
      </c>
      <c r="B161">
        <f t="shared" si="17"/>
        <v>1428</v>
      </c>
      <c r="C161">
        <f t="shared" si="18"/>
        <v>-2.9999999999859028E-3</v>
      </c>
      <c r="D161" s="68">
        <f t="shared" si="16"/>
        <v>1427.9970000000001</v>
      </c>
    </row>
    <row r="162" spans="1:4" x14ac:dyDescent="0.25">
      <c r="A162" s="69">
        <v>120</v>
      </c>
      <c r="B162" s="69">
        <f t="shared" si="17"/>
        <v>1440</v>
      </c>
      <c r="C162">
        <f t="shared" si="18"/>
        <v>-7.9999999999813554E-3</v>
      </c>
      <c r="D162" s="69">
        <f t="shared" si="16"/>
        <v>1439.992</v>
      </c>
    </row>
    <row r="163" spans="1:4" x14ac:dyDescent="0.25">
      <c r="A163">
        <v>121</v>
      </c>
      <c r="B163">
        <f t="shared" si="17"/>
        <v>1452</v>
      </c>
      <c r="C163">
        <f>I5</f>
        <v>2.0000000000006679E-3</v>
      </c>
      <c r="D163">
        <f t="shared" si="16"/>
        <v>1452.002</v>
      </c>
    </row>
    <row r="164" spans="1:4" x14ac:dyDescent="0.25">
      <c r="A164">
        <v>122</v>
      </c>
      <c r="B164">
        <f t="shared" si="17"/>
        <v>1464</v>
      </c>
      <c r="C164">
        <f>I6</f>
        <v>1.9999999999988916E-3</v>
      </c>
      <c r="D164">
        <f t="shared" si="16"/>
        <v>1464.002</v>
      </c>
    </row>
    <row r="165" spans="1:4" x14ac:dyDescent="0.25">
      <c r="A165">
        <v>123</v>
      </c>
      <c r="B165">
        <f t="shared" si="17"/>
        <v>1476</v>
      </c>
      <c r="C165">
        <f t="shared" ref="C165:C192" si="19">I7</f>
        <v>6.9999999999978968E-3</v>
      </c>
      <c r="D165">
        <f t="shared" si="16"/>
        <v>1476.0070000000001</v>
      </c>
    </row>
    <row r="166" spans="1:4" x14ac:dyDescent="0.25">
      <c r="A166">
        <v>124</v>
      </c>
      <c r="B166">
        <f t="shared" si="17"/>
        <v>1488</v>
      </c>
      <c r="C166">
        <f t="shared" si="19"/>
        <v>6.9999999999978968E-3</v>
      </c>
      <c r="D166">
        <f t="shared" si="16"/>
        <v>1488.0070000000001</v>
      </c>
    </row>
    <row r="167" spans="1:4" x14ac:dyDescent="0.25">
      <c r="A167">
        <v>125</v>
      </c>
      <c r="B167">
        <f t="shared" si="17"/>
        <v>1500</v>
      </c>
      <c r="C167">
        <f t="shared" si="19"/>
        <v>3.9999999999977831E-3</v>
      </c>
      <c r="D167">
        <f t="shared" si="16"/>
        <v>1500.0039999999999</v>
      </c>
    </row>
    <row r="168" spans="1:4" x14ac:dyDescent="0.25">
      <c r="A168">
        <v>126</v>
      </c>
      <c r="B168">
        <f t="shared" si="17"/>
        <v>1512</v>
      </c>
      <c r="C168">
        <f t="shared" si="19"/>
        <v>-1.9999999999953388E-3</v>
      </c>
      <c r="D168">
        <f t="shared" si="16"/>
        <v>1511.998</v>
      </c>
    </row>
    <row r="169" spans="1:4" x14ac:dyDescent="0.25">
      <c r="A169">
        <v>127</v>
      </c>
      <c r="B169">
        <f t="shared" si="17"/>
        <v>1524</v>
      </c>
      <c r="C169">
        <f t="shared" si="19"/>
        <v>-1.9999999999953388E-3</v>
      </c>
      <c r="D169">
        <f t="shared" si="16"/>
        <v>1523.998</v>
      </c>
    </row>
    <row r="170" spans="1:4" x14ac:dyDescent="0.25">
      <c r="A170">
        <v>128</v>
      </c>
      <c r="B170">
        <f t="shared" si="17"/>
        <v>1536</v>
      </c>
      <c r="C170">
        <f t="shared" si="19"/>
        <v>-1.9999999999953388E-3</v>
      </c>
      <c r="D170">
        <f t="shared" si="16"/>
        <v>1535.998</v>
      </c>
    </row>
    <row r="171" spans="1:4" x14ac:dyDescent="0.25">
      <c r="A171">
        <v>129</v>
      </c>
      <c r="B171">
        <f t="shared" si="17"/>
        <v>1548</v>
      </c>
      <c r="C171">
        <f t="shared" si="19"/>
        <v>-4.9999999999954525E-3</v>
      </c>
      <c r="D171">
        <f t="shared" ref="D171:D234" si="20">C171+B171</f>
        <v>1547.9949999999999</v>
      </c>
    </row>
    <row r="172" spans="1:4" x14ac:dyDescent="0.25">
      <c r="A172">
        <v>130</v>
      </c>
      <c r="B172">
        <f t="shared" si="17"/>
        <v>1560</v>
      </c>
      <c r="C172">
        <f t="shared" si="19"/>
        <v>-7.9999999999955662E-3</v>
      </c>
      <c r="D172">
        <f t="shared" si="20"/>
        <v>1559.992</v>
      </c>
    </row>
    <row r="173" spans="1:4" x14ac:dyDescent="0.25">
      <c r="A173">
        <v>131</v>
      </c>
      <c r="B173">
        <f t="shared" si="17"/>
        <v>1572</v>
      </c>
      <c r="C173">
        <f t="shared" si="19"/>
        <v>-2.0000000000095497E-3</v>
      </c>
      <c r="D173">
        <f t="shared" si="20"/>
        <v>1571.998</v>
      </c>
    </row>
    <row r="174" spans="1:4" x14ac:dyDescent="0.25">
      <c r="A174">
        <v>132</v>
      </c>
      <c r="B174">
        <f t="shared" si="17"/>
        <v>1584</v>
      </c>
      <c r="C174">
        <f t="shared" si="19"/>
        <v>-2.0000000000095497E-3</v>
      </c>
      <c r="D174">
        <f t="shared" si="20"/>
        <v>1583.998</v>
      </c>
    </row>
    <row r="175" spans="1:4" x14ac:dyDescent="0.25">
      <c r="A175">
        <v>133</v>
      </c>
      <c r="B175">
        <f t="shared" si="17"/>
        <v>1596</v>
      </c>
      <c r="C175">
        <f t="shared" si="19"/>
        <v>0</v>
      </c>
      <c r="D175">
        <f t="shared" si="20"/>
        <v>1596</v>
      </c>
    </row>
    <row r="176" spans="1:4" x14ac:dyDescent="0.25">
      <c r="A176">
        <v>134</v>
      </c>
      <c r="B176">
        <f t="shared" si="17"/>
        <v>1608</v>
      </c>
      <c r="C176">
        <f t="shared" si="19"/>
        <v>-4.9999999999954525E-3</v>
      </c>
      <c r="D176">
        <f t="shared" si="20"/>
        <v>1607.9949999999999</v>
      </c>
    </row>
    <row r="177" spans="1:4" x14ac:dyDescent="0.25">
      <c r="A177">
        <v>135</v>
      </c>
      <c r="B177">
        <f t="shared" si="17"/>
        <v>1620</v>
      </c>
      <c r="C177">
        <f t="shared" si="19"/>
        <v>-4.9999999999954525E-3</v>
      </c>
      <c r="D177">
        <f t="shared" si="20"/>
        <v>1619.9949999999999</v>
      </c>
    </row>
    <row r="178" spans="1:4" x14ac:dyDescent="0.25">
      <c r="A178">
        <v>136</v>
      </c>
      <c r="B178">
        <f t="shared" si="17"/>
        <v>1632</v>
      </c>
      <c r="C178">
        <f t="shared" si="19"/>
        <v>3.9999999999906777E-3</v>
      </c>
      <c r="D178">
        <f t="shared" si="20"/>
        <v>1632.0039999999999</v>
      </c>
    </row>
    <row r="179" spans="1:4" x14ac:dyDescent="0.25">
      <c r="A179">
        <v>137</v>
      </c>
      <c r="B179">
        <f t="shared" si="17"/>
        <v>1644</v>
      </c>
      <c r="C179">
        <f t="shared" si="19"/>
        <v>6.0000000000002274E-3</v>
      </c>
      <c r="D179" s="68">
        <f t="shared" si="20"/>
        <v>1644.0060000000001</v>
      </c>
    </row>
    <row r="180" spans="1:4" x14ac:dyDescent="0.25">
      <c r="A180">
        <v>138</v>
      </c>
      <c r="B180">
        <f t="shared" si="17"/>
        <v>1656</v>
      </c>
      <c r="C180">
        <f t="shared" si="19"/>
        <v>7.0000000000050022E-3</v>
      </c>
      <c r="D180">
        <f t="shared" si="20"/>
        <v>1656.0070000000001</v>
      </c>
    </row>
    <row r="181" spans="1:4" x14ac:dyDescent="0.25">
      <c r="A181">
        <v>139</v>
      </c>
      <c r="B181">
        <f t="shared" si="17"/>
        <v>1668</v>
      </c>
      <c r="C181">
        <f t="shared" si="19"/>
        <v>4.9999999999954525E-3</v>
      </c>
      <c r="D181">
        <f t="shared" si="20"/>
        <v>1668.0050000000001</v>
      </c>
    </row>
    <row r="182" spans="1:4" x14ac:dyDescent="0.25">
      <c r="A182">
        <v>140</v>
      </c>
      <c r="B182">
        <f t="shared" si="17"/>
        <v>1680</v>
      </c>
      <c r="C182">
        <f t="shared" si="19"/>
        <v>4.9999999999954525E-3</v>
      </c>
      <c r="D182">
        <f t="shared" si="20"/>
        <v>1680.0050000000001</v>
      </c>
    </row>
    <row r="183" spans="1:4" x14ac:dyDescent="0.25">
      <c r="A183">
        <v>141</v>
      </c>
      <c r="B183">
        <f t="shared" si="17"/>
        <v>1692</v>
      </c>
      <c r="C183">
        <f t="shared" si="19"/>
        <v>9.9999999999909051E-3</v>
      </c>
      <c r="D183">
        <f t="shared" si="20"/>
        <v>1692.01</v>
      </c>
    </row>
    <row r="184" spans="1:4" x14ac:dyDescent="0.25">
      <c r="A184">
        <v>142</v>
      </c>
      <c r="B184">
        <f t="shared" ref="B184:B242" si="21">A184*12</f>
        <v>1704</v>
      </c>
      <c r="C184">
        <f t="shared" si="19"/>
        <v>8.0000000000381988E-3</v>
      </c>
      <c r="D184">
        <f t="shared" si="20"/>
        <v>1704.008</v>
      </c>
    </row>
    <row r="185" spans="1:4" x14ac:dyDescent="0.25">
      <c r="A185">
        <v>143</v>
      </c>
      <c r="B185">
        <f t="shared" si="21"/>
        <v>1716</v>
      </c>
      <c r="C185">
        <f t="shared" si="19"/>
        <v>1.1000000000024102E-2</v>
      </c>
      <c r="D185">
        <f t="shared" si="20"/>
        <v>1716.011</v>
      </c>
    </row>
    <row r="186" spans="1:4" x14ac:dyDescent="0.25">
      <c r="A186">
        <v>144</v>
      </c>
      <c r="B186">
        <f t="shared" si="21"/>
        <v>1728</v>
      </c>
      <c r="C186">
        <f t="shared" si="19"/>
        <v>1.1000000000024102E-2</v>
      </c>
      <c r="D186">
        <f t="shared" si="20"/>
        <v>1728.011</v>
      </c>
    </row>
    <row r="187" spans="1:4" x14ac:dyDescent="0.25">
      <c r="A187">
        <v>145</v>
      </c>
      <c r="B187">
        <f t="shared" si="21"/>
        <v>1740</v>
      </c>
      <c r="C187">
        <f t="shared" si="19"/>
        <v>1.1000000000024102E-2</v>
      </c>
      <c r="D187">
        <f t="shared" si="20"/>
        <v>1740.011</v>
      </c>
    </row>
    <row r="188" spans="1:4" x14ac:dyDescent="0.25">
      <c r="A188">
        <v>146</v>
      </c>
      <c r="B188">
        <f t="shared" si="21"/>
        <v>1752</v>
      </c>
      <c r="C188">
        <f t="shared" si="19"/>
        <v>9.0000000000145519E-3</v>
      </c>
      <c r="D188">
        <f t="shared" si="20"/>
        <v>1752.009</v>
      </c>
    </row>
    <row r="189" spans="1:4" x14ac:dyDescent="0.25">
      <c r="A189">
        <v>147</v>
      </c>
      <c r="B189">
        <f t="shared" si="21"/>
        <v>1764</v>
      </c>
      <c r="C189">
        <f t="shared" si="19"/>
        <v>9.0000000000145519E-3</v>
      </c>
      <c r="D189">
        <f t="shared" si="20"/>
        <v>1764.009</v>
      </c>
    </row>
    <row r="190" spans="1:4" x14ac:dyDescent="0.25">
      <c r="A190">
        <v>148</v>
      </c>
      <c r="B190">
        <f t="shared" si="21"/>
        <v>1776</v>
      </c>
      <c r="C190">
        <f t="shared" si="19"/>
        <v>7.0000000000050022E-3</v>
      </c>
      <c r="D190">
        <f t="shared" si="20"/>
        <v>1776.0070000000001</v>
      </c>
    </row>
    <row r="191" spans="1:4" x14ac:dyDescent="0.25">
      <c r="A191">
        <v>149</v>
      </c>
      <c r="B191">
        <f t="shared" si="21"/>
        <v>1788</v>
      </c>
      <c r="C191">
        <f t="shared" si="19"/>
        <v>-2.9999999999859028E-3</v>
      </c>
      <c r="D191" s="68">
        <f t="shared" si="20"/>
        <v>1787.9970000000001</v>
      </c>
    </row>
    <row r="192" spans="1:4" x14ac:dyDescent="0.25">
      <c r="A192" s="69">
        <v>150</v>
      </c>
      <c r="B192" s="69">
        <f t="shared" si="21"/>
        <v>1800</v>
      </c>
      <c r="C192">
        <f t="shared" si="19"/>
        <v>-7.9999999999813554E-3</v>
      </c>
      <c r="D192" s="69">
        <f t="shared" si="20"/>
        <v>1799.992</v>
      </c>
    </row>
    <row r="193" spans="1:4" x14ac:dyDescent="0.25">
      <c r="A193">
        <v>151</v>
      </c>
      <c r="B193">
        <f t="shared" si="21"/>
        <v>1812</v>
      </c>
      <c r="C193">
        <f>I5</f>
        <v>2.0000000000006679E-3</v>
      </c>
      <c r="D193">
        <f t="shared" si="20"/>
        <v>1812.002</v>
      </c>
    </row>
    <row r="194" spans="1:4" x14ac:dyDescent="0.25">
      <c r="A194">
        <v>152</v>
      </c>
      <c r="B194">
        <f t="shared" si="21"/>
        <v>1824</v>
      </c>
      <c r="C194">
        <f>I6</f>
        <v>1.9999999999988916E-3</v>
      </c>
      <c r="D194">
        <f t="shared" si="20"/>
        <v>1824.002</v>
      </c>
    </row>
    <row r="195" spans="1:4" x14ac:dyDescent="0.25">
      <c r="A195">
        <v>153</v>
      </c>
      <c r="B195">
        <f t="shared" si="21"/>
        <v>1836</v>
      </c>
      <c r="C195">
        <f t="shared" ref="C195:C222" si="22">I7</f>
        <v>6.9999999999978968E-3</v>
      </c>
      <c r="D195">
        <f t="shared" si="20"/>
        <v>1836.0070000000001</v>
      </c>
    </row>
    <row r="196" spans="1:4" x14ac:dyDescent="0.25">
      <c r="A196">
        <v>154</v>
      </c>
      <c r="B196">
        <f t="shared" si="21"/>
        <v>1848</v>
      </c>
      <c r="C196">
        <f t="shared" si="22"/>
        <v>6.9999999999978968E-3</v>
      </c>
      <c r="D196">
        <f t="shared" si="20"/>
        <v>1848.0070000000001</v>
      </c>
    </row>
    <row r="197" spans="1:4" x14ac:dyDescent="0.25">
      <c r="A197">
        <v>155</v>
      </c>
      <c r="B197">
        <f t="shared" si="21"/>
        <v>1860</v>
      </c>
      <c r="C197">
        <f t="shared" si="22"/>
        <v>3.9999999999977831E-3</v>
      </c>
      <c r="D197">
        <f t="shared" si="20"/>
        <v>1860.0039999999999</v>
      </c>
    </row>
    <row r="198" spans="1:4" x14ac:dyDescent="0.25">
      <c r="A198">
        <v>156</v>
      </c>
      <c r="B198">
        <f t="shared" si="21"/>
        <v>1872</v>
      </c>
      <c r="C198">
        <f t="shared" si="22"/>
        <v>-1.9999999999953388E-3</v>
      </c>
      <c r="D198">
        <f t="shared" si="20"/>
        <v>1871.998</v>
      </c>
    </row>
    <row r="199" spans="1:4" x14ac:dyDescent="0.25">
      <c r="A199">
        <v>157</v>
      </c>
      <c r="B199">
        <f t="shared" si="21"/>
        <v>1884</v>
      </c>
      <c r="C199">
        <f t="shared" si="22"/>
        <v>-1.9999999999953388E-3</v>
      </c>
      <c r="D199">
        <f t="shared" si="20"/>
        <v>1883.998</v>
      </c>
    </row>
    <row r="200" spans="1:4" x14ac:dyDescent="0.25">
      <c r="A200">
        <v>158</v>
      </c>
      <c r="B200">
        <f t="shared" si="21"/>
        <v>1896</v>
      </c>
      <c r="C200">
        <f t="shared" si="22"/>
        <v>-1.9999999999953388E-3</v>
      </c>
      <c r="D200">
        <f t="shared" si="20"/>
        <v>1895.998</v>
      </c>
    </row>
    <row r="201" spans="1:4" x14ac:dyDescent="0.25">
      <c r="A201">
        <v>159</v>
      </c>
      <c r="B201">
        <f t="shared" si="21"/>
        <v>1908</v>
      </c>
      <c r="C201">
        <f t="shared" si="22"/>
        <v>-4.9999999999954525E-3</v>
      </c>
      <c r="D201">
        <f t="shared" si="20"/>
        <v>1907.9949999999999</v>
      </c>
    </row>
    <row r="202" spans="1:4" x14ac:dyDescent="0.25">
      <c r="A202">
        <v>160</v>
      </c>
      <c r="B202">
        <f t="shared" si="21"/>
        <v>1920</v>
      </c>
      <c r="C202">
        <f t="shared" si="22"/>
        <v>-7.9999999999955662E-3</v>
      </c>
      <c r="D202">
        <f t="shared" si="20"/>
        <v>1919.992</v>
      </c>
    </row>
    <row r="203" spans="1:4" x14ac:dyDescent="0.25">
      <c r="A203">
        <v>161</v>
      </c>
      <c r="B203">
        <f t="shared" si="21"/>
        <v>1932</v>
      </c>
      <c r="C203">
        <f t="shared" si="22"/>
        <v>-2.0000000000095497E-3</v>
      </c>
      <c r="D203">
        <f t="shared" si="20"/>
        <v>1931.998</v>
      </c>
    </row>
    <row r="204" spans="1:4" x14ac:dyDescent="0.25">
      <c r="A204">
        <v>162</v>
      </c>
      <c r="B204">
        <f t="shared" si="21"/>
        <v>1944</v>
      </c>
      <c r="C204">
        <f t="shared" si="22"/>
        <v>-2.0000000000095497E-3</v>
      </c>
      <c r="D204">
        <f t="shared" si="20"/>
        <v>1943.998</v>
      </c>
    </row>
    <row r="205" spans="1:4" x14ac:dyDescent="0.25">
      <c r="A205">
        <v>163</v>
      </c>
      <c r="B205">
        <f t="shared" si="21"/>
        <v>1956</v>
      </c>
      <c r="C205">
        <f t="shared" si="22"/>
        <v>0</v>
      </c>
      <c r="D205">
        <f t="shared" si="20"/>
        <v>1956</v>
      </c>
    </row>
    <row r="206" spans="1:4" x14ac:dyDescent="0.25">
      <c r="A206">
        <v>164</v>
      </c>
      <c r="B206">
        <f t="shared" si="21"/>
        <v>1968</v>
      </c>
      <c r="C206">
        <f t="shared" si="22"/>
        <v>-4.9999999999954525E-3</v>
      </c>
      <c r="D206">
        <f t="shared" si="20"/>
        <v>1967.9949999999999</v>
      </c>
    </row>
    <row r="207" spans="1:4" x14ac:dyDescent="0.25">
      <c r="A207">
        <v>165</v>
      </c>
      <c r="B207">
        <f t="shared" si="21"/>
        <v>1980</v>
      </c>
      <c r="C207">
        <f t="shared" si="22"/>
        <v>-4.9999999999954525E-3</v>
      </c>
      <c r="D207">
        <f t="shared" si="20"/>
        <v>1979.9949999999999</v>
      </c>
    </row>
    <row r="208" spans="1:4" x14ac:dyDescent="0.25">
      <c r="A208">
        <v>166</v>
      </c>
      <c r="B208">
        <f t="shared" si="21"/>
        <v>1992</v>
      </c>
      <c r="C208">
        <f t="shared" si="22"/>
        <v>3.9999999999906777E-3</v>
      </c>
      <c r="D208">
        <f t="shared" si="20"/>
        <v>1992.0039999999999</v>
      </c>
    </row>
    <row r="209" spans="1:4" x14ac:dyDescent="0.25">
      <c r="A209">
        <v>167</v>
      </c>
      <c r="B209">
        <f t="shared" si="21"/>
        <v>2004</v>
      </c>
      <c r="C209">
        <f t="shared" si="22"/>
        <v>6.0000000000002274E-3</v>
      </c>
      <c r="D209" s="68">
        <f t="shared" si="20"/>
        <v>2004.0060000000001</v>
      </c>
    </row>
    <row r="210" spans="1:4" x14ac:dyDescent="0.25">
      <c r="A210">
        <v>168</v>
      </c>
      <c r="B210">
        <f t="shared" si="21"/>
        <v>2016</v>
      </c>
      <c r="C210">
        <f t="shared" si="22"/>
        <v>7.0000000000050022E-3</v>
      </c>
      <c r="D210">
        <f t="shared" si="20"/>
        <v>2016.0070000000001</v>
      </c>
    </row>
    <row r="211" spans="1:4" x14ac:dyDescent="0.25">
      <c r="A211">
        <v>169</v>
      </c>
      <c r="B211">
        <f t="shared" si="21"/>
        <v>2028</v>
      </c>
      <c r="C211">
        <f t="shared" si="22"/>
        <v>4.9999999999954525E-3</v>
      </c>
      <c r="D211">
        <f t="shared" si="20"/>
        <v>2028.0050000000001</v>
      </c>
    </row>
    <row r="212" spans="1:4" x14ac:dyDescent="0.25">
      <c r="A212">
        <v>170</v>
      </c>
      <c r="B212">
        <f t="shared" si="21"/>
        <v>2040</v>
      </c>
      <c r="C212">
        <f t="shared" si="22"/>
        <v>4.9999999999954525E-3</v>
      </c>
      <c r="D212">
        <f t="shared" si="20"/>
        <v>2040.0050000000001</v>
      </c>
    </row>
    <row r="213" spans="1:4" x14ac:dyDescent="0.25">
      <c r="A213">
        <v>171</v>
      </c>
      <c r="B213">
        <f t="shared" si="21"/>
        <v>2052</v>
      </c>
      <c r="C213">
        <f t="shared" si="22"/>
        <v>9.9999999999909051E-3</v>
      </c>
      <c r="D213">
        <f t="shared" si="20"/>
        <v>2052.0100000000002</v>
      </c>
    </row>
    <row r="214" spans="1:4" x14ac:dyDescent="0.25">
      <c r="A214">
        <v>172</v>
      </c>
      <c r="B214">
        <f t="shared" si="21"/>
        <v>2064</v>
      </c>
      <c r="C214">
        <f t="shared" si="22"/>
        <v>8.0000000000381988E-3</v>
      </c>
      <c r="D214">
        <f t="shared" si="20"/>
        <v>2064.0079999999998</v>
      </c>
    </row>
    <row r="215" spans="1:4" x14ac:dyDescent="0.25">
      <c r="A215">
        <v>173</v>
      </c>
      <c r="B215">
        <f t="shared" si="21"/>
        <v>2076</v>
      </c>
      <c r="C215">
        <f t="shared" si="22"/>
        <v>1.1000000000024102E-2</v>
      </c>
      <c r="D215">
        <f t="shared" si="20"/>
        <v>2076.011</v>
      </c>
    </row>
    <row r="216" spans="1:4" x14ac:dyDescent="0.25">
      <c r="A216">
        <v>174</v>
      </c>
      <c r="B216">
        <f t="shared" si="21"/>
        <v>2088</v>
      </c>
      <c r="C216">
        <f t="shared" si="22"/>
        <v>1.1000000000024102E-2</v>
      </c>
      <c r="D216">
        <f t="shared" si="20"/>
        <v>2088.011</v>
      </c>
    </row>
    <row r="217" spans="1:4" x14ac:dyDescent="0.25">
      <c r="A217">
        <v>175</v>
      </c>
      <c r="B217">
        <f t="shared" si="21"/>
        <v>2100</v>
      </c>
      <c r="C217">
        <f t="shared" si="22"/>
        <v>1.1000000000024102E-2</v>
      </c>
      <c r="D217">
        <f t="shared" si="20"/>
        <v>2100.011</v>
      </c>
    </row>
    <row r="218" spans="1:4" x14ac:dyDescent="0.25">
      <c r="A218">
        <v>176</v>
      </c>
      <c r="B218">
        <f t="shared" si="21"/>
        <v>2112</v>
      </c>
      <c r="C218">
        <f t="shared" si="22"/>
        <v>9.0000000000145519E-3</v>
      </c>
      <c r="D218">
        <f t="shared" si="20"/>
        <v>2112.009</v>
      </c>
    </row>
    <row r="219" spans="1:4" x14ac:dyDescent="0.25">
      <c r="A219">
        <v>177</v>
      </c>
      <c r="B219">
        <f t="shared" si="21"/>
        <v>2124</v>
      </c>
      <c r="C219">
        <f t="shared" si="22"/>
        <v>9.0000000000145519E-3</v>
      </c>
      <c r="D219">
        <f t="shared" si="20"/>
        <v>2124.009</v>
      </c>
    </row>
    <row r="220" spans="1:4" x14ac:dyDescent="0.25">
      <c r="A220">
        <v>178</v>
      </c>
      <c r="B220">
        <f t="shared" si="21"/>
        <v>2136</v>
      </c>
      <c r="C220">
        <f t="shared" si="22"/>
        <v>7.0000000000050022E-3</v>
      </c>
      <c r="D220">
        <f t="shared" si="20"/>
        <v>2136.0070000000001</v>
      </c>
    </row>
    <row r="221" spans="1:4" x14ac:dyDescent="0.25">
      <c r="A221">
        <v>179</v>
      </c>
      <c r="B221">
        <f t="shared" si="21"/>
        <v>2148</v>
      </c>
      <c r="C221">
        <f t="shared" si="22"/>
        <v>-2.9999999999859028E-3</v>
      </c>
      <c r="D221" s="68">
        <f t="shared" si="20"/>
        <v>2147.9969999999998</v>
      </c>
    </row>
    <row r="222" spans="1:4" x14ac:dyDescent="0.25">
      <c r="A222" s="69">
        <v>180</v>
      </c>
      <c r="B222" s="69">
        <f t="shared" si="21"/>
        <v>2160</v>
      </c>
      <c r="C222">
        <f t="shared" si="22"/>
        <v>-7.9999999999813554E-3</v>
      </c>
      <c r="D222" s="69">
        <f t="shared" si="20"/>
        <v>2159.9920000000002</v>
      </c>
    </row>
    <row r="223" spans="1:4" x14ac:dyDescent="0.25">
      <c r="A223">
        <v>181</v>
      </c>
      <c r="B223">
        <f t="shared" si="21"/>
        <v>2172</v>
      </c>
      <c r="C223">
        <f>I5</f>
        <v>2.0000000000006679E-3</v>
      </c>
      <c r="D223">
        <f t="shared" si="20"/>
        <v>2172.002</v>
      </c>
    </row>
    <row r="224" spans="1:4" x14ac:dyDescent="0.25">
      <c r="A224">
        <v>182</v>
      </c>
      <c r="B224">
        <f t="shared" si="21"/>
        <v>2184</v>
      </c>
      <c r="C224">
        <f>I6</f>
        <v>1.9999999999988916E-3</v>
      </c>
      <c r="D224">
        <f t="shared" si="20"/>
        <v>2184.002</v>
      </c>
    </row>
    <row r="225" spans="1:4" x14ac:dyDescent="0.25">
      <c r="A225">
        <v>183</v>
      </c>
      <c r="B225">
        <f t="shared" si="21"/>
        <v>2196</v>
      </c>
      <c r="C225">
        <f t="shared" ref="C225:C241" si="23">I7</f>
        <v>6.9999999999978968E-3</v>
      </c>
      <c r="D225">
        <f t="shared" si="20"/>
        <v>2196.0070000000001</v>
      </c>
    </row>
    <row r="226" spans="1:4" x14ac:dyDescent="0.25">
      <c r="A226">
        <v>184</v>
      </c>
      <c r="B226">
        <f t="shared" si="21"/>
        <v>2208</v>
      </c>
      <c r="C226">
        <f t="shared" si="23"/>
        <v>6.9999999999978968E-3</v>
      </c>
      <c r="D226">
        <f t="shared" si="20"/>
        <v>2208.0070000000001</v>
      </c>
    </row>
    <row r="227" spans="1:4" x14ac:dyDescent="0.25">
      <c r="A227">
        <v>185</v>
      </c>
      <c r="B227">
        <f t="shared" si="21"/>
        <v>2220</v>
      </c>
      <c r="C227">
        <f t="shared" si="23"/>
        <v>3.9999999999977831E-3</v>
      </c>
      <c r="D227">
        <f t="shared" si="20"/>
        <v>2220.0039999999999</v>
      </c>
    </row>
    <row r="228" spans="1:4" x14ac:dyDescent="0.25">
      <c r="A228">
        <v>186</v>
      </c>
      <c r="B228">
        <f t="shared" si="21"/>
        <v>2232</v>
      </c>
      <c r="C228">
        <f t="shared" si="23"/>
        <v>-1.9999999999953388E-3</v>
      </c>
      <c r="D228">
        <f t="shared" si="20"/>
        <v>2231.998</v>
      </c>
    </row>
    <row r="229" spans="1:4" x14ac:dyDescent="0.25">
      <c r="A229">
        <v>187</v>
      </c>
      <c r="B229">
        <f t="shared" si="21"/>
        <v>2244</v>
      </c>
      <c r="C229">
        <f t="shared" si="23"/>
        <v>-1.9999999999953388E-3</v>
      </c>
      <c r="D229">
        <f t="shared" si="20"/>
        <v>2243.998</v>
      </c>
    </row>
    <row r="230" spans="1:4" x14ac:dyDescent="0.25">
      <c r="A230">
        <v>188</v>
      </c>
      <c r="B230">
        <f t="shared" si="21"/>
        <v>2256</v>
      </c>
      <c r="C230">
        <f t="shared" si="23"/>
        <v>-1.9999999999953388E-3</v>
      </c>
      <c r="D230">
        <f t="shared" si="20"/>
        <v>2255.998</v>
      </c>
    </row>
    <row r="231" spans="1:4" x14ac:dyDescent="0.25">
      <c r="A231">
        <v>189</v>
      </c>
      <c r="B231">
        <f t="shared" si="21"/>
        <v>2268</v>
      </c>
      <c r="C231">
        <f t="shared" si="23"/>
        <v>-4.9999999999954525E-3</v>
      </c>
      <c r="D231">
        <f t="shared" si="20"/>
        <v>2267.9949999999999</v>
      </c>
    </row>
    <row r="232" spans="1:4" x14ac:dyDescent="0.25">
      <c r="A232">
        <v>190</v>
      </c>
      <c r="B232">
        <f t="shared" si="21"/>
        <v>2280</v>
      </c>
      <c r="C232">
        <f t="shared" si="23"/>
        <v>-7.9999999999955662E-3</v>
      </c>
      <c r="D232">
        <f t="shared" si="20"/>
        <v>2279.9920000000002</v>
      </c>
    </row>
    <row r="233" spans="1:4" x14ac:dyDescent="0.25">
      <c r="A233">
        <v>191</v>
      </c>
      <c r="B233">
        <f t="shared" si="21"/>
        <v>2292</v>
      </c>
      <c r="C233">
        <f t="shared" si="23"/>
        <v>-2.0000000000095497E-3</v>
      </c>
      <c r="D233">
        <f t="shared" si="20"/>
        <v>2291.998</v>
      </c>
    </row>
    <row r="234" spans="1:4" x14ac:dyDescent="0.25">
      <c r="A234">
        <v>192</v>
      </c>
      <c r="B234">
        <f t="shared" si="21"/>
        <v>2304</v>
      </c>
      <c r="C234">
        <f t="shared" si="23"/>
        <v>-2.0000000000095497E-3</v>
      </c>
      <c r="D234">
        <f t="shared" si="20"/>
        <v>2303.998</v>
      </c>
    </row>
    <row r="235" spans="1:4" x14ac:dyDescent="0.25">
      <c r="A235">
        <v>193</v>
      </c>
      <c r="B235">
        <f t="shared" si="21"/>
        <v>2316</v>
      </c>
      <c r="C235">
        <f t="shared" si="23"/>
        <v>0</v>
      </c>
      <c r="D235">
        <f t="shared" ref="D235:D242" si="24">C235+B235</f>
        <v>2316</v>
      </c>
    </row>
    <row r="236" spans="1:4" x14ac:dyDescent="0.25">
      <c r="A236">
        <v>194</v>
      </c>
      <c r="B236">
        <f t="shared" si="21"/>
        <v>2328</v>
      </c>
      <c r="C236">
        <f t="shared" si="23"/>
        <v>-4.9999999999954525E-3</v>
      </c>
      <c r="D236">
        <f t="shared" si="24"/>
        <v>2327.9949999999999</v>
      </c>
    </row>
    <row r="237" spans="1:4" x14ac:dyDescent="0.25">
      <c r="A237">
        <v>195</v>
      </c>
      <c r="B237">
        <f t="shared" si="21"/>
        <v>2340</v>
      </c>
      <c r="C237">
        <f t="shared" si="23"/>
        <v>-4.9999999999954525E-3</v>
      </c>
      <c r="D237">
        <f t="shared" si="24"/>
        <v>2339.9949999999999</v>
      </c>
    </row>
    <row r="238" spans="1:4" x14ac:dyDescent="0.25">
      <c r="A238">
        <v>196</v>
      </c>
      <c r="B238">
        <f t="shared" si="21"/>
        <v>2352</v>
      </c>
      <c r="C238">
        <f t="shared" si="23"/>
        <v>3.9999999999906777E-3</v>
      </c>
      <c r="D238">
        <f t="shared" si="24"/>
        <v>2352.0039999999999</v>
      </c>
    </row>
    <row r="239" spans="1:4" x14ac:dyDescent="0.25">
      <c r="A239">
        <v>197</v>
      </c>
      <c r="B239">
        <f t="shared" si="21"/>
        <v>2364</v>
      </c>
      <c r="C239">
        <f t="shared" si="23"/>
        <v>6.0000000000002274E-3</v>
      </c>
      <c r="D239" s="68">
        <f t="shared" si="24"/>
        <v>2364.0059999999999</v>
      </c>
    </row>
    <row r="240" spans="1:4" x14ac:dyDescent="0.25">
      <c r="A240">
        <v>198</v>
      </c>
      <c r="B240">
        <f t="shared" si="21"/>
        <v>2376</v>
      </c>
      <c r="C240">
        <f t="shared" si="23"/>
        <v>7.0000000000050022E-3</v>
      </c>
      <c r="D240">
        <f t="shared" si="24"/>
        <v>2376.0070000000001</v>
      </c>
    </row>
    <row r="241" spans="1:4" x14ac:dyDescent="0.25">
      <c r="A241">
        <v>199</v>
      </c>
      <c r="B241">
        <f t="shared" si="21"/>
        <v>2388</v>
      </c>
      <c r="C241">
        <f t="shared" si="23"/>
        <v>4.9999999999954525E-3</v>
      </c>
      <c r="D241">
        <f t="shared" si="24"/>
        <v>2388.0050000000001</v>
      </c>
    </row>
    <row r="242" spans="1:4" x14ac:dyDescent="0.25">
      <c r="A242">
        <v>200</v>
      </c>
      <c r="B242">
        <f t="shared" si="21"/>
        <v>2400</v>
      </c>
      <c r="C242">
        <f>I24</f>
        <v>4.9999999999954525E-3</v>
      </c>
      <c r="D242">
        <f t="shared" si="24"/>
        <v>2400.0050000000001</v>
      </c>
    </row>
  </sheetData>
  <sheetProtection selectLockedCells="1" selectUn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68FE2-5201-4229-B2C8-6BD8981BD3CC}">
  <dimension ref="A1:M32"/>
  <sheetViews>
    <sheetView workbookViewId="0">
      <selection activeCell="J2" sqref="J2:J32"/>
    </sheetView>
  </sheetViews>
  <sheetFormatPr defaultRowHeight="15" x14ac:dyDescent="0.25"/>
  <cols>
    <col min="3" max="7" width="9.140625" style="18"/>
  </cols>
  <sheetData>
    <row r="1" spans="1:13" x14ac:dyDescent="0.25">
      <c r="B1" t="s">
        <v>0</v>
      </c>
      <c r="I1" t="s">
        <v>0</v>
      </c>
      <c r="J1" s="18"/>
      <c r="K1" s="18" t="s">
        <v>80</v>
      </c>
      <c r="L1" s="18"/>
      <c r="M1" s="18"/>
    </row>
    <row r="2" spans="1:13" x14ac:dyDescent="0.25">
      <c r="B2" t="s">
        <v>81</v>
      </c>
      <c r="C2" s="18">
        <v>4</v>
      </c>
      <c r="I2" t="s">
        <v>81</v>
      </c>
      <c r="J2" s="18">
        <v>4</v>
      </c>
      <c r="K2" s="18"/>
      <c r="L2" s="18"/>
      <c r="M2" s="18"/>
    </row>
    <row r="3" spans="1:13" x14ac:dyDescent="0.25">
      <c r="A3">
        <v>1</v>
      </c>
      <c r="B3">
        <v>12</v>
      </c>
      <c r="C3" s="18">
        <v>12.002000000000001</v>
      </c>
      <c r="E3" s="18" t="s">
        <v>82</v>
      </c>
      <c r="F3" s="18" t="s">
        <v>83</v>
      </c>
      <c r="I3">
        <v>12</v>
      </c>
      <c r="J3" s="18">
        <v>12.002000000000001</v>
      </c>
      <c r="K3" s="18"/>
      <c r="L3" s="18" t="s">
        <v>82</v>
      </c>
      <c r="M3" s="18" t="s">
        <v>83</v>
      </c>
    </row>
    <row r="4" spans="1:13" x14ac:dyDescent="0.25">
      <c r="A4">
        <v>2</v>
      </c>
      <c r="B4">
        <v>24</v>
      </c>
      <c r="C4" s="18">
        <v>24.001999999999999</v>
      </c>
      <c r="E4" s="18">
        <f>C4-B4</f>
        <v>1.9999999999988916E-3</v>
      </c>
      <c r="F4" s="18">
        <v>0</v>
      </c>
      <c r="I4">
        <v>24</v>
      </c>
      <c r="J4" s="18">
        <v>24.001999999999999</v>
      </c>
      <c r="K4" s="18"/>
      <c r="L4" s="18">
        <f>J4-I4</f>
        <v>1.9999999999988916E-3</v>
      </c>
      <c r="M4" s="18">
        <v>0</v>
      </c>
    </row>
    <row r="5" spans="1:13" x14ac:dyDescent="0.25">
      <c r="A5">
        <v>3</v>
      </c>
      <c r="B5">
        <v>36</v>
      </c>
      <c r="C5" s="18">
        <v>36.006999999999998</v>
      </c>
      <c r="E5" s="18">
        <f t="shared" ref="E5:E32" si="0">C5-B5</f>
        <v>6.9999999999978968E-3</v>
      </c>
      <c r="F5" s="18">
        <f>E5-E4</f>
        <v>4.9999999999990052E-3</v>
      </c>
      <c r="I5">
        <v>36</v>
      </c>
      <c r="J5" s="18">
        <v>36.006999999999998</v>
      </c>
      <c r="K5" s="18"/>
      <c r="L5" s="18">
        <f t="shared" ref="L5:L32" si="1">J5-I5</f>
        <v>6.9999999999978968E-3</v>
      </c>
      <c r="M5" s="18">
        <f>L5-L4</f>
        <v>4.9999999999990052E-3</v>
      </c>
    </row>
    <row r="6" spans="1:13" x14ac:dyDescent="0.25">
      <c r="A6">
        <v>4</v>
      </c>
      <c r="B6">
        <v>48</v>
      </c>
      <c r="C6" s="18">
        <v>48.006999999999998</v>
      </c>
      <c r="E6" s="18">
        <f t="shared" si="0"/>
        <v>6.9999999999978968E-3</v>
      </c>
      <c r="F6" s="18">
        <f t="shared" ref="F6:F32" si="2">E6-E5</f>
        <v>0</v>
      </c>
      <c r="I6">
        <v>48</v>
      </c>
      <c r="J6" s="18">
        <v>48.006999999999998</v>
      </c>
      <c r="K6" s="18"/>
      <c r="L6" s="18">
        <f t="shared" si="1"/>
        <v>6.9999999999978968E-3</v>
      </c>
      <c r="M6" s="18">
        <f t="shared" ref="M6:M32" si="3">L6-L5</f>
        <v>0</v>
      </c>
    </row>
    <row r="7" spans="1:13" x14ac:dyDescent="0.25">
      <c r="A7">
        <v>5</v>
      </c>
      <c r="B7">
        <v>60</v>
      </c>
      <c r="C7" s="18">
        <v>60.003999999999998</v>
      </c>
      <c r="E7" s="18">
        <f t="shared" si="0"/>
        <v>3.9999999999977831E-3</v>
      </c>
      <c r="F7" s="18">
        <f t="shared" si="2"/>
        <v>-3.0000000000001137E-3</v>
      </c>
      <c r="I7">
        <v>60</v>
      </c>
      <c r="J7" s="18">
        <v>60.003999999999998</v>
      </c>
      <c r="K7" s="18"/>
      <c r="L7" s="18">
        <f t="shared" si="1"/>
        <v>3.9999999999977831E-3</v>
      </c>
      <c r="M7" s="18">
        <f t="shared" si="3"/>
        <v>-3.0000000000001137E-3</v>
      </c>
    </row>
    <row r="8" spans="1:13" x14ac:dyDescent="0.25">
      <c r="A8">
        <v>6</v>
      </c>
      <c r="B8">
        <v>72</v>
      </c>
      <c r="C8" s="18">
        <v>71.998000000000005</v>
      </c>
      <c r="E8" s="18">
        <f t="shared" si="0"/>
        <v>-1.9999999999953388E-3</v>
      </c>
      <c r="F8" s="18">
        <f t="shared" si="2"/>
        <v>-5.9999999999931219E-3</v>
      </c>
      <c r="I8">
        <v>72</v>
      </c>
      <c r="J8" s="18">
        <v>71.998000000000005</v>
      </c>
      <c r="K8" s="18"/>
      <c r="L8" s="18">
        <f t="shared" si="1"/>
        <v>-1.9999999999953388E-3</v>
      </c>
      <c r="M8" s="18">
        <f t="shared" si="3"/>
        <v>-5.9999999999931219E-3</v>
      </c>
    </row>
    <row r="9" spans="1:13" x14ac:dyDescent="0.25">
      <c r="A9">
        <v>7</v>
      </c>
      <c r="B9">
        <v>84</v>
      </c>
      <c r="C9" s="18">
        <v>84.019000000000005</v>
      </c>
      <c r="E9" s="18">
        <f t="shared" si="0"/>
        <v>1.9000000000005457E-2</v>
      </c>
      <c r="F9" s="18">
        <f t="shared" si="2"/>
        <v>2.1000000000000796E-2</v>
      </c>
      <c r="I9">
        <v>84</v>
      </c>
      <c r="J9" s="18">
        <v>83.998000000000005</v>
      </c>
      <c r="K9" s="18"/>
      <c r="L9" s="18">
        <f t="shared" si="1"/>
        <v>-1.9999999999953388E-3</v>
      </c>
      <c r="M9" s="18">
        <f t="shared" si="3"/>
        <v>0</v>
      </c>
    </row>
    <row r="10" spans="1:13" x14ac:dyDescent="0.25">
      <c r="A10">
        <v>8</v>
      </c>
      <c r="B10">
        <v>96</v>
      </c>
      <c r="C10">
        <v>96.023799999999994</v>
      </c>
      <c r="E10" s="18">
        <f t="shared" si="0"/>
        <v>2.379999999999427E-2</v>
      </c>
      <c r="F10" s="18">
        <f t="shared" si="2"/>
        <v>4.7999999999888132E-3</v>
      </c>
      <c r="I10">
        <v>96</v>
      </c>
      <c r="J10">
        <v>95.998000000000005</v>
      </c>
      <c r="K10" s="18"/>
      <c r="L10" s="18">
        <f t="shared" si="1"/>
        <v>-1.9999999999953388E-3</v>
      </c>
      <c r="M10" s="18">
        <f t="shared" si="3"/>
        <v>0</v>
      </c>
    </row>
    <row r="11" spans="1:13" x14ac:dyDescent="0.25">
      <c r="A11">
        <v>9</v>
      </c>
      <c r="B11">
        <v>108</v>
      </c>
      <c r="C11">
        <v>108.02800000000001</v>
      </c>
      <c r="E11" s="18">
        <f t="shared" si="0"/>
        <v>2.8000000000005798E-2</v>
      </c>
      <c r="F11" s="18">
        <f t="shared" si="2"/>
        <v>4.2000000000115278E-3</v>
      </c>
      <c r="I11">
        <v>108</v>
      </c>
      <c r="J11">
        <v>107.995</v>
      </c>
      <c r="K11" s="18"/>
      <c r="L11" s="18">
        <f t="shared" si="1"/>
        <v>-4.9999999999954525E-3</v>
      </c>
      <c r="M11" s="18">
        <f t="shared" si="3"/>
        <v>-3.0000000000001137E-3</v>
      </c>
    </row>
    <row r="12" spans="1:13" x14ac:dyDescent="0.25">
      <c r="A12">
        <v>10</v>
      </c>
      <c r="B12">
        <v>120</v>
      </c>
      <c r="C12">
        <v>120.0284</v>
      </c>
      <c r="E12" s="18">
        <f t="shared" si="0"/>
        <v>2.8400000000004866E-2</v>
      </c>
      <c r="F12" s="18">
        <f t="shared" si="2"/>
        <v>3.9999999999906777E-4</v>
      </c>
      <c r="I12">
        <v>120</v>
      </c>
      <c r="J12">
        <v>119.992</v>
      </c>
      <c r="K12" s="18"/>
      <c r="L12" s="18">
        <f t="shared" si="1"/>
        <v>-7.9999999999955662E-3</v>
      </c>
      <c r="M12" s="18">
        <f t="shared" si="3"/>
        <v>-3.0000000000001137E-3</v>
      </c>
    </row>
    <row r="13" spans="1:13" x14ac:dyDescent="0.25">
      <c r="A13">
        <v>11</v>
      </c>
      <c r="B13">
        <v>132</v>
      </c>
      <c r="C13">
        <v>132.03460000000001</v>
      </c>
      <c r="E13" s="18">
        <f t="shared" si="0"/>
        <v>3.4600000000011732E-2</v>
      </c>
      <c r="F13" s="18">
        <f t="shared" si="2"/>
        <v>6.2000000000068667E-3</v>
      </c>
      <c r="I13">
        <v>132</v>
      </c>
      <c r="J13">
        <v>131.99799999999999</v>
      </c>
      <c r="K13" s="18"/>
      <c r="L13" s="18">
        <f t="shared" si="1"/>
        <v>-2.0000000000095497E-3</v>
      </c>
      <c r="M13" s="18">
        <f t="shared" si="3"/>
        <v>5.9999999999860165E-3</v>
      </c>
    </row>
    <row r="14" spans="1:13" x14ac:dyDescent="0.25">
      <c r="A14">
        <v>12</v>
      </c>
      <c r="B14">
        <v>144</v>
      </c>
      <c r="C14">
        <v>144.0343</v>
      </c>
      <c r="E14" s="18">
        <f t="shared" si="0"/>
        <v>3.4300000000001774E-2</v>
      </c>
      <c r="F14" s="18">
        <f t="shared" si="2"/>
        <v>-3.0000000000995897E-4</v>
      </c>
      <c r="I14">
        <v>144</v>
      </c>
      <c r="J14">
        <v>143.99799999999999</v>
      </c>
      <c r="K14" s="18"/>
      <c r="L14" s="18">
        <f t="shared" si="1"/>
        <v>-2.0000000000095497E-3</v>
      </c>
      <c r="M14" s="18">
        <f t="shared" si="3"/>
        <v>0</v>
      </c>
    </row>
    <row r="15" spans="1:13" x14ac:dyDescent="0.25">
      <c r="A15">
        <v>13</v>
      </c>
      <c r="B15">
        <v>156</v>
      </c>
      <c r="C15">
        <v>156.03700000000001</v>
      </c>
      <c r="E15" s="18">
        <f t="shared" si="0"/>
        <v>3.7000000000006139E-2</v>
      </c>
      <c r="F15" s="18">
        <f t="shared" si="2"/>
        <v>2.7000000000043656E-3</v>
      </c>
      <c r="I15">
        <v>156</v>
      </c>
      <c r="J15">
        <v>156</v>
      </c>
      <c r="K15" s="18"/>
      <c r="L15" s="18">
        <f t="shared" si="1"/>
        <v>0</v>
      </c>
      <c r="M15" s="18">
        <f t="shared" si="3"/>
        <v>2.0000000000095497E-3</v>
      </c>
    </row>
    <row r="16" spans="1:13" x14ac:dyDescent="0.25">
      <c r="A16">
        <v>14</v>
      </c>
      <c r="B16">
        <v>168</v>
      </c>
      <c r="C16">
        <v>168.03299999999999</v>
      </c>
      <c r="E16" s="18">
        <f t="shared" si="0"/>
        <v>3.299999999998704E-2</v>
      </c>
      <c r="F16" s="18">
        <f t="shared" si="2"/>
        <v>-4.0000000000190994E-3</v>
      </c>
      <c r="I16">
        <v>168</v>
      </c>
      <c r="J16">
        <v>167.995</v>
      </c>
      <c r="K16" s="18"/>
      <c r="L16" s="18">
        <f t="shared" si="1"/>
        <v>-4.9999999999954525E-3</v>
      </c>
      <c r="M16" s="18">
        <f t="shared" si="3"/>
        <v>-4.9999999999954525E-3</v>
      </c>
    </row>
    <row r="17" spans="1:13" x14ac:dyDescent="0.25">
      <c r="A17">
        <v>15</v>
      </c>
      <c r="B17">
        <v>180</v>
      </c>
      <c r="C17">
        <v>180.03200000000001</v>
      </c>
      <c r="E17" s="18">
        <f t="shared" si="0"/>
        <v>3.2000000000010687E-2</v>
      </c>
      <c r="F17" s="18">
        <f t="shared" si="2"/>
        <v>-9.9999999997635314E-4</v>
      </c>
      <c r="I17">
        <v>180</v>
      </c>
      <c r="J17">
        <v>179.995</v>
      </c>
      <c r="K17" s="18"/>
      <c r="L17" s="18">
        <f t="shared" si="1"/>
        <v>-4.9999999999954525E-3</v>
      </c>
      <c r="M17" s="18">
        <f t="shared" si="3"/>
        <v>0</v>
      </c>
    </row>
    <row r="18" spans="1:13" x14ac:dyDescent="0.25">
      <c r="A18">
        <v>16</v>
      </c>
      <c r="B18">
        <v>192</v>
      </c>
      <c r="C18">
        <v>192.041</v>
      </c>
      <c r="E18" s="18">
        <f t="shared" si="0"/>
        <v>4.0999999999996817E-2</v>
      </c>
      <c r="F18" s="18">
        <f t="shared" si="2"/>
        <v>8.9999999999861302E-3</v>
      </c>
      <c r="I18">
        <v>192</v>
      </c>
      <c r="J18" s="18">
        <f>I18+L17+F18</f>
        <v>192.00399999999999</v>
      </c>
      <c r="K18" s="18"/>
      <c r="L18" s="18">
        <f t="shared" si="1"/>
        <v>3.9999999999906777E-3</v>
      </c>
      <c r="M18" s="18">
        <f t="shared" si="3"/>
        <v>8.9999999999861302E-3</v>
      </c>
    </row>
    <row r="19" spans="1:13" x14ac:dyDescent="0.25">
      <c r="A19">
        <v>17</v>
      </c>
      <c r="B19">
        <v>204</v>
      </c>
      <c r="C19">
        <v>204.04300000000001</v>
      </c>
      <c r="E19" s="18">
        <f t="shared" si="0"/>
        <v>4.3000000000006366E-2</v>
      </c>
      <c r="F19" s="18">
        <f t="shared" si="2"/>
        <v>2.0000000000095497E-3</v>
      </c>
      <c r="I19">
        <v>204</v>
      </c>
      <c r="J19" s="18">
        <f>J18+12+F19</f>
        <v>204.006</v>
      </c>
      <c r="K19" s="18"/>
      <c r="L19" s="18">
        <f t="shared" si="1"/>
        <v>6.0000000000002274E-3</v>
      </c>
      <c r="M19" s="18">
        <f t="shared" si="3"/>
        <v>2.0000000000095497E-3</v>
      </c>
    </row>
    <row r="20" spans="1:13" x14ac:dyDescent="0.25">
      <c r="A20">
        <v>18</v>
      </c>
      <c r="B20">
        <v>216</v>
      </c>
      <c r="C20">
        <v>216.04400000000001</v>
      </c>
      <c r="E20" s="18">
        <f t="shared" si="0"/>
        <v>4.4000000000011141E-2</v>
      </c>
      <c r="F20" s="18">
        <f t="shared" si="2"/>
        <v>1.0000000000047748E-3</v>
      </c>
      <c r="I20">
        <v>216</v>
      </c>
      <c r="J20" s="18">
        <f t="shared" ref="J20:J32" si="4">J19+12+F20</f>
        <v>216.00700000000001</v>
      </c>
      <c r="K20" s="18"/>
      <c r="L20" s="18">
        <f t="shared" si="1"/>
        <v>7.0000000000050022E-3</v>
      </c>
      <c r="M20" s="18">
        <f t="shared" si="3"/>
        <v>1.0000000000047748E-3</v>
      </c>
    </row>
    <row r="21" spans="1:13" x14ac:dyDescent="0.25">
      <c r="A21">
        <v>19</v>
      </c>
      <c r="B21">
        <v>228</v>
      </c>
      <c r="C21">
        <v>228.042</v>
      </c>
      <c r="E21" s="18">
        <f t="shared" si="0"/>
        <v>4.2000000000001592E-2</v>
      </c>
      <c r="F21" s="18">
        <f t="shared" si="2"/>
        <v>-2.0000000000095497E-3</v>
      </c>
      <c r="I21">
        <v>228</v>
      </c>
      <c r="J21" s="18">
        <f t="shared" si="4"/>
        <v>228.005</v>
      </c>
      <c r="K21" s="18"/>
      <c r="L21" s="18">
        <f t="shared" si="1"/>
        <v>4.9999999999954525E-3</v>
      </c>
      <c r="M21" s="18">
        <f t="shared" si="3"/>
        <v>-2.0000000000095497E-3</v>
      </c>
    </row>
    <row r="22" spans="1:13" x14ac:dyDescent="0.25">
      <c r="A22">
        <v>20</v>
      </c>
      <c r="B22">
        <v>240</v>
      </c>
      <c r="C22">
        <v>240.042</v>
      </c>
      <c r="E22" s="18">
        <f t="shared" si="0"/>
        <v>4.2000000000001592E-2</v>
      </c>
      <c r="F22" s="18">
        <f t="shared" si="2"/>
        <v>0</v>
      </c>
      <c r="I22">
        <v>240</v>
      </c>
      <c r="J22" s="18">
        <f t="shared" si="4"/>
        <v>240.005</v>
      </c>
      <c r="K22" s="18"/>
      <c r="L22" s="18">
        <f t="shared" si="1"/>
        <v>4.9999999999954525E-3</v>
      </c>
      <c r="M22" s="18">
        <f t="shared" si="3"/>
        <v>0</v>
      </c>
    </row>
    <row r="23" spans="1:13" x14ac:dyDescent="0.25">
      <c r="A23">
        <v>21</v>
      </c>
      <c r="B23">
        <v>252</v>
      </c>
      <c r="C23">
        <v>252.047</v>
      </c>
      <c r="E23" s="18">
        <f t="shared" si="0"/>
        <v>4.6999999999997044E-2</v>
      </c>
      <c r="F23" s="18">
        <f t="shared" si="2"/>
        <v>4.9999999999954525E-3</v>
      </c>
      <c r="I23">
        <v>252</v>
      </c>
      <c r="J23" s="18">
        <f t="shared" si="4"/>
        <v>252.01</v>
      </c>
      <c r="K23" s="18"/>
      <c r="L23" s="18">
        <f t="shared" si="1"/>
        <v>9.9999999999909051E-3</v>
      </c>
      <c r="M23" s="18">
        <f t="shared" si="3"/>
        <v>4.9999999999954525E-3</v>
      </c>
    </row>
    <row r="24" spans="1:13" x14ac:dyDescent="0.25">
      <c r="A24">
        <v>22</v>
      </c>
      <c r="B24">
        <v>264</v>
      </c>
      <c r="C24">
        <v>264.04500000000002</v>
      </c>
      <c r="E24" s="18">
        <f t="shared" si="0"/>
        <v>4.5000000000015916E-2</v>
      </c>
      <c r="F24" s="18">
        <f t="shared" si="2"/>
        <v>-1.999999999981128E-3</v>
      </c>
      <c r="I24">
        <v>264</v>
      </c>
      <c r="J24" s="18">
        <f t="shared" si="4"/>
        <v>264.00800000000004</v>
      </c>
      <c r="K24" s="18"/>
      <c r="L24" s="18">
        <f t="shared" si="1"/>
        <v>8.0000000000381988E-3</v>
      </c>
      <c r="M24" s="18">
        <f t="shared" si="3"/>
        <v>-1.9999999999527063E-3</v>
      </c>
    </row>
    <row r="25" spans="1:13" x14ac:dyDescent="0.25">
      <c r="A25">
        <v>23</v>
      </c>
      <c r="B25">
        <v>276</v>
      </c>
      <c r="C25">
        <v>276.048</v>
      </c>
      <c r="E25" s="18">
        <f t="shared" si="0"/>
        <v>4.8000000000001819E-2</v>
      </c>
      <c r="F25" s="18">
        <f t="shared" si="2"/>
        <v>2.9999999999859028E-3</v>
      </c>
      <c r="I25">
        <v>276</v>
      </c>
      <c r="J25" s="18">
        <f t="shared" si="4"/>
        <v>276.01100000000002</v>
      </c>
      <c r="K25" s="18"/>
      <c r="L25" s="18">
        <f t="shared" si="1"/>
        <v>1.1000000000024102E-2</v>
      </c>
      <c r="M25" s="18">
        <f t="shared" si="3"/>
        <v>2.9999999999859028E-3</v>
      </c>
    </row>
    <row r="26" spans="1:13" x14ac:dyDescent="0.25">
      <c r="A26">
        <v>24</v>
      </c>
      <c r="B26">
        <v>288</v>
      </c>
      <c r="C26">
        <v>288.048</v>
      </c>
      <c r="E26" s="18">
        <f t="shared" si="0"/>
        <v>4.8000000000001819E-2</v>
      </c>
      <c r="F26" s="18">
        <f t="shared" si="2"/>
        <v>0</v>
      </c>
      <c r="I26">
        <v>288</v>
      </c>
      <c r="J26" s="18">
        <f t="shared" si="4"/>
        <v>288.01100000000002</v>
      </c>
      <c r="K26" s="18"/>
      <c r="L26" s="18">
        <f t="shared" si="1"/>
        <v>1.1000000000024102E-2</v>
      </c>
      <c r="M26" s="18">
        <f t="shared" si="3"/>
        <v>0</v>
      </c>
    </row>
    <row r="27" spans="1:13" x14ac:dyDescent="0.25">
      <c r="A27">
        <v>25</v>
      </c>
      <c r="B27">
        <v>300</v>
      </c>
      <c r="C27">
        <v>300.048</v>
      </c>
      <c r="E27" s="18">
        <f t="shared" si="0"/>
        <v>4.8000000000001819E-2</v>
      </c>
      <c r="F27" s="18">
        <f t="shared" si="2"/>
        <v>0</v>
      </c>
      <c r="I27">
        <v>300</v>
      </c>
      <c r="J27" s="18">
        <f t="shared" si="4"/>
        <v>300.01100000000002</v>
      </c>
      <c r="K27" s="18"/>
      <c r="L27" s="18">
        <f t="shared" si="1"/>
        <v>1.1000000000024102E-2</v>
      </c>
      <c r="M27" s="18">
        <f t="shared" si="3"/>
        <v>0</v>
      </c>
    </row>
    <row r="28" spans="1:13" x14ac:dyDescent="0.25">
      <c r="A28">
        <v>26</v>
      </c>
      <c r="B28">
        <v>312</v>
      </c>
      <c r="C28">
        <v>312.04599999999999</v>
      </c>
      <c r="E28" s="18">
        <f t="shared" si="0"/>
        <v>4.5999999999992269E-2</v>
      </c>
      <c r="F28" s="18">
        <f t="shared" si="2"/>
        <v>-2.0000000000095497E-3</v>
      </c>
      <c r="I28">
        <v>312</v>
      </c>
      <c r="J28" s="18">
        <f t="shared" si="4"/>
        <v>312.00900000000001</v>
      </c>
      <c r="K28" s="18"/>
      <c r="L28" s="18">
        <f t="shared" si="1"/>
        <v>9.0000000000145519E-3</v>
      </c>
      <c r="M28" s="18">
        <f t="shared" si="3"/>
        <v>-2.0000000000095497E-3</v>
      </c>
    </row>
    <row r="29" spans="1:13" x14ac:dyDescent="0.25">
      <c r="A29">
        <v>27</v>
      </c>
      <c r="B29">
        <v>324</v>
      </c>
      <c r="C29">
        <v>324.04599999999999</v>
      </c>
      <c r="E29" s="18">
        <f t="shared" si="0"/>
        <v>4.5999999999992269E-2</v>
      </c>
      <c r="F29" s="18">
        <f t="shared" si="2"/>
        <v>0</v>
      </c>
      <c r="I29">
        <v>324</v>
      </c>
      <c r="J29" s="18">
        <f t="shared" si="4"/>
        <v>324.00900000000001</v>
      </c>
      <c r="K29" s="18"/>
      <c r="L29" s="18">
        <f t="shared" si="1"/>
        <v>9.0000000000145519E-3</v>
      </c>
      <c r="M29" s="18">
        <f t="shared" si="3"/>
        <v>0</v>
      </c>
    </row>
    <row r="30" spans="1:13" x14ac:dyDescent="0.25">
      <c r="A30">
        <v>28</v>
      </c>
      <c r="B30">
        <v>336</v>
      </c>
      <c r="C30">
        <v>336.04399999999998</v>
      </c>
      <c r="E30" s="18">
        <f t="shared" si="0"/>
        <v>4.399999999998272E-2</v>
      </c>
      <c r="F30" s="18">
        <f t="shared" si="2"/>
        <v>-2.0000000000095497E-3</v>
      </c>
      <c r="I30">
        <v>336</v>
      </c>
      <c r="J30" s="18">
        <f t="shared" si="4"/>
        <v>336.00700000000001</v>
      </c>
      <c r="K30" s="18"/>
      <c r="L30" s="18">
        <f t="shared" si="1"/>
        <v>7.0000000000050022E-3</v>
      </c>
      <c r="M30" s="18">
        <f t="shared" si="3"/>
        <v>-2.0000000000095497E-3</v>
      </c>
    </row>
    <row r="31" spans="1:13" x14ac:dyDescent="0.25">
      <c r="A31">
        <v>29</v>
      </c>
      <c r="B31">
        <v>348</v>
      </c>
      <c r="C31">
        <v>348.03399999999999</v>
      </c>
      <c r="E31" s="18">
        <f t="shared" si="0"/>
        <v>3.3999999999991815E-2</v>
      </c>
      <c r="F31" s="18">
        <f t="shared" si="2"/>
        <v>-9.9999999999909051E-3</v>
      </c>
      <c r="I31">
        <v>348</v>
      </c>
      <c r="J31" s="18">
        <f t="shared" si="4"/>
        <v>347.99700000000001</v>
      </c>
      <c r="K31" s="18"/>
      <c r="L31" s="18">
        <f t="shared" si="1"/>
        <v>-2.9999999999859028E-3</v>
      </c>
      <c r="M31" s="18">
        <f t="shared" si="3"/>
        <v>-9.9999999999909051E-3</v>
      </c>
    </row>
    <row r="32" spans="1:13" x14ac:dyDescent="0.25">
      <c r="A32">
        <v>30</v>
      </c>
      <c r="B32">
        <v>360</v>
      </c>
      <c r="C32">
        <v>360.029</v>
      </c>
      <c r="E32" s="18">
        <f t="shared" si="0"/>
        <v>2.8999999999996362E-2</v>
      </c>
      <c r="F32" s="18">
        <f t="shared" si="2"/>
        <v>-4.9999999999954525E-3</v>
      </c>
      <c r="I32">
        <v>360</v>
      </c>
      <c r="J32" s="18">
        <f t="shared" si="4"/>
        <v>359.99200000000002</v>
      </c>
      <c r="K32" s="18"/>
      <c r="L32" s="18">
        <f t="shared" si="1"/>
        <v>-7.9999999999813554E-3</v>
      </c>
      <c r="M32" s="18">
        <f t="shared" si="3"/>
        <v>-4.9999999999954525E-3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D1:S40"/>
  <sheetViews>
    <sheetView topLeftCell="D9" workbookViewId="0">
      <selection activeCell="I5" sqref="I5"/>
    </sheetView>
  </sheetViews>
  <sheetFormatPr defaultRowHeight="15" x14ac:dyDescent="0.25"/>
  <cols>
    <col min="5" max="6" width="10.85546875" customWidth="1"/>
    <col min="8" max="8" width="10.7109375" customWidth="1"/>
    <col min="9" max="9" width="24.85546875" customWidth="1"/>
    <col min="11" max="11" width="15.7109375" bestFit="1" customWidth="1"/>
    <col min="12" max="12" width="17" customWidth="1"/>
    <col min="13" max="13" width="13" customWidth="1"/>
    <col min="14" max="14" width="19.42578125" style="13" customWidth="1"/>
    <col min="18" max="18" width="12.5703125" bestFit="1" customWidth="1"/>
  </cols>
  <sheetData>
    <row r="1" spans="4:19" x14ac:dyDescent="0.25">
      <c r="N1" s="13" t="s">
        <v>84</v>
      </c>
    </row>
    <row r="2" spans="4:19" x14ac:dyDescent="0.25">
      <c r="N2" s="13" t="s">
        <v>85</v>
      </c>
      <c r="O2" t="s">
        <v>86</v>
      </c>
    </row>
    <row r="3" spans="4:19" x14ac:dyDescent="0.25">
      <c r="H3" t="s">
        <v>85</v>
      </c>
      <c r="I3">
        <f>R17</f>
        <v>170</v>
      </c>
      <c r="N3" s="13" t="s">
        <v>87</v>
      </c>
      <c r="O3">
        <v>0</v>
      </c>
      <c r="P3">
        <v>-2.5530000000000001E-3</v>
      </c>
      <c r="Q3">
        <v>-1.2272999999999999E-2</v>
      </c>
    </row>
    <row r="4" spans="4:19" x14ac:dyDescent="0.25">
      <c r="H4" t="s">
        <v>88</v>
      </c>
      <c r="I4">
        <f>R16</f>
        <v>5.34</v>
      </c>
      <c r="N4" s="13" t="s">
        <v>89</v>
      </c>
      <c r="O4">
        <v>73.400000000000006</v>
      </c>
      <c r="P4">
        <v>72.599999999999994</v>
      </c>
      <c r="Q4">
        <v>68</v>
      </c>
    </row>
    <row r="5" spans="4:19" x14ac:dyDescent="0.25">
      <c r="H5" s="21" t="s">
        <v>90</v>
      </c>
      <c r="I5">
        <f>R15</f>
        <v>1.2272999999999999E-2</v>
      </c>
      <c r="N5" s="13">
        <v>2</v>
      </c>
      <c r="O5">
        <v>73.400000000000006</v>
      </c>
      <c r="P5">
        <v>72.599999999999994</v>
      </c>
      <c r="Q5">
        <v>69.2</v>
      </c>
    </row>
    <row r="6" spans="4:19" x14ac:dyDescent="0.25">
      <c r="H6" s="21" t="s">
        <v>91</v>
      </c>
      <c r="I6" s="22">
        <f>R18</f>
        <v>1.3519497686715135E-5</v>
      </c>
      <c r="N6" s="13">
        <v>3</v>
      </c>
      <c r="O6">
        <v>73.400000000000006</v>
      </c>
      <c r="P6">
        <v>72.599999999999994</v>
      </c>
      <c r="Q6">
        <v>69.599999999999994</v>
      </c>
    </row>
    <row r="7" spans="4:19" x14ac:dyDescent="0.25">
      <c r="N7" s="13">
        <v>4</v>
      </c>
      <c r="O7">
        <v>73.2</v>
      </c>
      <c r="P7">
        <v>72.400000000000006</v>
      </c>
      <c r="Q7">
        <v>69.2</v>
      </c>
    </row>
    <row r="8" spans="4:19" x14ac:dyDescent="0.25">
      <c r="N8" s="13">
        <v>5</v>
      </c>
      <c r="O8">
        <v>73.8</v>
      </c>
      <c r="P8">
        <v>71.8</v>
      </c>
      <c r="Q8">
        <v>69</v>
      </c>
    </row>
    <row r="9" spans="4:19" x14ac:dyDescent="0.25">
      <c r="N9" s="13">
        <v>6</v>
      </c>
      <c r="O9">
        <v>74.599999999999994</v>
      </c>
      <c r="P9">
        <v>72.599999999999994</v>
      </c>
      <c r="Q9">
        <v>68</v>
      </c>
    </row>
    <row r="10" spans="4:19" x14ac:dyDescent="0.25">
      <c r="N10" s="13">
        <v>7</v>
      </c>
      <c r="O10">
        <v>74.2</v>
      </c>
      <c r="P10">
        <v>71.8</v>
      </c>
      <c r="Q10">
        <v>68.400000000000006</v>
      </c>
    </row>
    <row r="11" spans="4:19" x14ac:dyDescent="0.25">
      <c r="N11" s="13">
        <v>8</v>
      </c>
      <c r="O11">
        <v>74.2</v>
      </c>
      <c r="P11">
        <v>72.599999999999994</v>
      </c>
      <c r="Q11">
        <v>68</v>
      </c>
    </row>
    <row r="12" spans="4:19" x14ac:dyDescent="0.25">
      <c r="N12" s="13">
        <v>9</v>
      </c>
      <c r="O12">
        <v>74.2</v>
      </c>
      <c r="P12">
        <v>72.599999999999994</v>
      </c>
      <c r="Q12">
        <v>67.8</v>
      </c>
    </row>
    <row r="13" spans="4:19" x14ac:dyDescent="0.25">
      <c r="N13" s="13">
        <v>10</v>
      </c>
      <c r="O13">
        <v>74.599999999999994</v>
      </c>
      <c r="P13">
        <v>72.599999999999994</v>
      </c>
      <c r="Q13">
        <v>68.400000000000006</v>
      </c>
    </row>
    <row r="14" spans="4:19" ht="15.75" thickBot="1" x14ac:dyDescent="0.3"/>
    <row r="15" spans="4:19" x14ac:dyDescent="0.25">
      <c r="D15" s="3"/>
      <c r="E15" s="4"/>
      <c r="F15" s="4"/>
      <c r="G15" s="4"/>
      <c r="H15" s="4"/>
      <c r="I15" s="4"/>
      <c r="J15" s="5"/>
      <c r="O15">
        <f>AVERAGE(O4:O13)</f>
        <v>73.90000000000002</v>
      </c>
      <c r="P15">
        <f>AVERAGE(P4:P13)</f>
        <v>72.42</v>
      </c>
      <c r="Q15">
        <f>AVERAGE(Q4:Q13)</f>
        <v>68.559999999999988</v>
      </c>
      <c r="R15">
        <v>1.2272999999999999E-2</v>
      </c>
      <c r="S15">
        <f>O15-Q15</f>
        <v>5.3400000000000318</v>
      </c>
    </row>
    <row r="16" spans="4:19" x14ac:dyDescent="0.25">
      <c r="D16" s="6"/>
      <c r="E16" t="s">
        <v>92</v>
      </c>
      <c r="F16">
        <v>13.5</v>
      </c>
      <c r="H16" t="s">
        <v>93</v>
      </c>
      <c r="I16">
        <v>180</v>
      </c>
      <c r="J16" s="7" t="s">
        <v>1</v>
      </c>
      <c r="M16" t="s">
        <v>94</v>
      </c>
      <c r="O16" s="2">
        <v>0.52847222222222223</v>
      </c>
      <c r="P16" s="2">
        <v>0.55486111111111114</v>
      </c>
      <c r="Q16" s="2">
        <v>0.57916666666666672</v>
      </c>
      <c r="R16">
        <v>5.34</v>
      </c>
    </row>
    <row r="17" spans="4:18" x14ac:dyDescent="0.25">
      <c r="D17" s="6"/>
      <c r="E17" t="s">
        <v>23</v>
      </c>
      <c r="F17">
        <v>6.3</v>
      </c>
      <c r="J17" s="7"/>
      <c r="M17" t="s">
        <v>95</v>
      </c>
      <c r="O17">
        <v>74.099999999999994</v>
      </c>
      <c r="P17">
        <v>72.3</v>
      </c>
      <c r="Q17">
        <v>67.099999999999994</v>
      </c>
      <c r="R17">
        <v>170</v>
      </c>
    </row>
    <row r="18" spans="4:18" x14ac:dyDescent="0.25">
      <c r="D18" s="6"/>
      <c r="E18" t="s">
        <v>96</v>
      </c>
      <c r="F18">
        <v>7.2000000000000002E-5</v>
      </c>
      <c r="H18">
        <f>F18*F21*I16</f>
        <v>6.4800000000000005E-3</v>
      </c>
      <c r="J18" s="7"/>
      <c r="M18" t="s">
        <v>97</v>
      </c>
      <c r="O18">
        <v>74.5</v>
      </c>
      <c r="P18">
        <v>72.7</v>
      </c>
      <c r="Q18">
        <v>67.400000000000006</v>
      </c>
      <c r="R18" s="11">
        <f>R15/R16/R17</f>
        <v>1.3519497686715135E-5</v>
      </c>
    </row>
    <row r="19" spans="4:18" x14ac:dyDescent="0.25">
      <c r="D19" s="6"/>
      <c r="J19" s="7"/>
      <c r="M19" t="s">
        <v>98</v>
      </c>
      <c r="O19">
        <v>74.400000000000006</v>
      </c>
      <c r="P19">
        <v>72.400000000000006</v>
      </c>
      <c r="Q19">
        <v>67.400000000000006</v>
      </c>
    </row>
    <row r="20" spans="4:18" x14ac:dyDescent="0.25">
      <c r="D20" s="6"/>
      <c r="E20" t="s">
        <v>99</v>
      </c>
      <c r="F20">
        <v>68</v>
      </c>
      <c r="J20" s="7"/>
    </row>
    <row r="21" spans="4:18" x14ac:dyDescent="0.25">
      <c r="D21" s="6"/>
      <c r="E21" t="s">
        <v>100</v>
      </c>
      <c r="F21">
        <v>0.5</v>
      </c>
      <c r="J21" s="7"/>
    </row>
    <row r="22" spans="4:18" ht="15.75" thickBot="1" x14ac:dyDescent="0.3">
      <c r="D22" s="8"/>
      <c r="E22" s="9"/>
      <c r="F22" s="9"/>
      <c r="G22" s="9"/>
      <c r="H22" s="9"/>
      <c r="I22" s="9"/>
      <c r="J22" s="10"/>
    </row>
    <row r="26" spans="4:18" x14ac:dyDescent="0.25">
      <c r="H26" t="s">
        <v>101</v>
      </c>
      <c r="J26">
        <v>1</v>
      </c>
      <c r="K26">
        <f>J26/25.4</f>
        <v>3.937007874015748E-2</v>
      </c>
      <c r="L26">
        <f>K26*1000</f>
        <v>39.370078740157481</v>
      </c>
      <c r="M26">
        <f>L26/2</f>
        <v>19.685039370078741</v>
      </c>
    </row>
    <row r="28" spans="4:18" x14ac:dyDescent="0.25">
      <c r="I28" t="s">
        <v>102</v>
      </c>
      <c r="M28" t="s">
        <v>103</v>
      </c>
      <c r="N28" s="13" t="s">
        <v>104</v>
      </c>
      <c r="O28" s="14" t="s">
        <v>105</v>
      </c>
    </row>
    <row r="29" spans="4:18" x14ac:dyDescent="0.25">
      <c r="H29" t="s">
        <v>106</v>
      </c>
      <c r="I29" s="12">
        <v>39.370080000000002</v>
      </c>
      <c r="J29">
        <f t="shared" ref="J29:J38" si="0">I29/1000</f>
        <v>3.9370080000000002E-2</v>
      </c>
      <c r="K29" s="16">
        <f>J29*25.4</f>
        <v>1.000000032</v>
      </c>
      <c r="L29" s="16">
        <f>K29*1000</f>
        <v>1000.000032</v>
      </c>
      <c r="M29" s="16">
        <f>L29/1000</f>
        <v>1.000000032</v>
      </c>
      <c r="N29" s="13">
        <f t="shared" ref="N29:N38" si="1">(M29-Q29)*1000000</f>
        <v>3.1999999983156613E-2</v>
      </c>
      <c r="O29" s="15">
        <f>N29*39.37</f>
        <v>1.2598399993368758</v>
      </c>
      <c r="Q29">
        <v>1</v>
      </c>
    </row>
    <row r="30" spans="4:18" x14ac:dyDescent="0.25">
      <c r="H30" t="s">
        <v>107</v>
      </c>
      <c r="I30" s="12">
        <v>39.370080000000002</v>
      </c>
      <c r="J30">
        <f t="shared" si="0"/>
        <v>3.9370080000000002E-2</v>
      </c>
      <c r="K30" s="16">
        <f t="shared" ref="K30:K38" si="2">J30*25.4*1000</f>
        <v>1000.000032</v>
      </c>
      <c r="L30" s="16">
        <f>L29+K30</f>
        <v>2000.0000640000001</v>
      </c>
      <c r="M30" s="16">
        <f t="shared" ref="M30:M40" si="3">L30/1000</f>
        <v>2.000000064</v>
      </c>
      <c r="N30" s="13">
        <f t="shared" si="1"/>
        <v>6.3999999966313226E-2</v>
      </c>
      <c r="O30" s="15">
        <f t="shared" ref="O30:O40" si="4">N30*39.37</f>
        <v>2.5196799986737517</v>
      </c>
      <c r="Q30">
        <v>2</v>
      </c>
    </row>
    <row r="31" spans="4:18" x14ac:dyDescent="0.25">
      <c r="H31" t="s">
        <v>108</v>
      </c>
      <c r="I31" s="12">
        <v>39.370075</v>
      </c>
      <c r="J31">
        <f t="shared" si="0"/>
        <v>3.9370074999999997E-2</v>
      </c>
      <c r="K31" s="16">
        <f t="shared" si="2"/>
        <v>999.9999049999999</v>
      </c>
      <c r="L31" s="16">
        <f>L30+K31</f>
        <v>2999.999969</v>
      </c>
      <c r="M31" s="16">
        <f t="shared" si="3"/>
        <v>2.9999999690000001</v>
      </c>
      <c r="N31" s="13">
        <f t="shared" si="1"/>
        <v>-3.0999999900416242E-2</v>
      </c>
      <c r="O31" s="15">
        <f t="shared" si="4"/>
        <v>-1.2204699960793874</v>
      </c>
      <c r="Q31">
        <v>3</v>
      </c>
    </row>
    <row r="32" spans="4:18" x14ac:dyDescent="0.25">
      <c r="H32" t="s">
        <v>109</v>
      </c>
      <c r="I32" s="12">
        <v>39.370080000000002</v>
      </c>
      <c r="J32">
        <f t="shared" si="0"/>
        <v>3.9370080000000002E-2</v>
      </c>
      <c r="K32" s="16">
        <f t="shared" si="2"/>
        <v>1000.000032</v>
      </c>
      <c r="L32" s="16">
        <f t="shared" ref="L32:L38" si="5">L31+K32</f>
        <v>4000.0000009999999</v>
      </c>
      <c r="M32" s="16">
        <f t="shared" si="3"/>
        <v>4.0000000010000001</v>
      </c>
      <c r="N32" s="13">
        <f t="shared" si="1"/>
        <v>1.000000082740371E-3</v>
      </c>
      <c r="O32" s="15">
        <f t="shared" si="4"/>
        <v>3.9370003257488406E-2</v>
      </c>
      <c r="Q32">
        <v>4</v>
      </c>
    </row>
    <row r="33" spans="8:17" x14ac:dyDescent="0.25">
      <c r="H33" t="s">
        <v>110</v>
      </c>
      <c r="I33" s="12">
        <v>39.370080000000002</v>
      </c>
      <c r="J33">
        <f t="shared" si="0"/>
        <v>3.9370080000000002E-2</v>
      </c>
      <c r="K33" s="16">
        <f t="shared" si="2"/>
        <v>1000.000032</v>
      </c>
      <c r="L33" s="16">
        <f t="shared" si="5"/>
        <v>5000.0000330000003</v>
      </c>
      <c r="M33" s="16">
        <f t="shared" si="3"/>
        <v>5.0000000330000001</v>
      </c>
      <c r="N33" s="13">
        <f t="shared" si="1"/>
        <v>3.3000000065896984E-2</v>
      </c>
      <c r="O33" s="15">
        <f t="shared" si="4"/>
        <v>1.2992100025943643</v>
      </c>
      <c r="Q33">
        <v>5</v>
      </c>
    </row>
    <row r="34" spans="8:17" x14ac:dyDescent="0.25">
      <c r="H34" t="s">
        <v>111</v>
      </c>
      <c r="I34" s="12">
        <v>39.370075</v>
      </c>
      <c r="J34">
        <f t="shared" si="0"/>
        <v>3.9370074999999997E-2</v>
      </c>
      <c r="K34" s="16">
        <f t="shared" si="2"/>
        <v>999.9999049999999</v>
      </c>
      <c r="L34" s="16">
        <f t="shared" si="5"/>
        <v>5999.9999379999999</v>
      </c>
      <c r="M34" s="16">
        <f t="shared" si="3"/>
        <v>5.9999999380000002</v>
      </c>
      <c r="N34" s="13">
        <f t="shared" si="1"/>
        <v>-6.1999999800832484E-2</v>
      </c>
      <c r="O34" s="15">
        <f t="shared" si="4"/>
        <v>-2.4409399921587749</v>
      </c>
      <c r="Q34">
        <v>6</v>
      </c>
    </row>
    <row r="35" spans="8:17" x14ac:dyDescent="0.25">
      <c r="H35" t="s">
        <v>112</v>
      </c>
      <c r="I35" s="12">
        <v>39.370080000000002</v>
      </c>
      <c r="J35">
        <f t="shared" si="0"/>
        <v>3.9370080000000002E-2</v>
      </c>
      <c r="K35" s="16">
        <f t="shared" si="2"/>
        <v>1000.000032</v>
      </c>
      <c r="L35" s="16">
        <f t="shared" si="5"/>
        <v>6999.9999699999998</v>
      </c>
      <c r="M35" s="16">
        <f t="shared" si="3"/>
        <v>6.9999999700000002</v>
      </c>
      <c r="N35" s="13">
        <f t="shared" si="1"/>
        <v>-2.9999999817675871E-2</v>
      </c>
      <c r="O35" s="15">
        <f t="shared" si="4"/>
        <v>-1.181099992821899</v>
      </c>
      <c r="Q35">
        <v>7</v>
      </c>
    </row>
    <row r="36" spans="8:17" x14ac:dyDescent="0.25">
      <c r="H36" t="s">
        <v>113</v>
      </c>
      <c r="I36" s="12">
        <v>39.370080000000002</v>
      </c>
      <c r="J36">
        <f t="shared" si="0"/>
        <v>3.9370080000000002E-2</v>
      </c>
      <c r="K36" s="16">
        <f t="shared" si="2"/>
        <v>1000.000032</v>
      </c>
      <c r="L36" s="16">
        <f t="shared" si="5"/>
        <v>8000.0000019999998</v>
      </c>
      <c r="M36" s="16">
        <f t="shared" si="3"/>
        <v>8.0000000020000002</v>
      </c>
      <c r="N36" s="13">
        <f t="shared" si="1"/>
        <v>2.000000165480742E-3</v>
      </c>
      <c r="O36" s="15">
        <f t="shared" si="4"/>
        <v>7.8740006514976812E-2</v>
      </c>
      <c r="Q36">
        <v>8</v>
      </c>
    </row>
    <row r="37" spans="8:17" x14ac:dyDescent="0.25">
      <c r="H37" t="s">
        <v>114</v>
      </c>
      <c r="I37" s="12">
        <v>39.370080000000002</v>
      </c>
      <c r="J37">
        <f t="shared" si="0"/>
        <v>3.9370080000000002E-2</v>
      </c>
      <c r="K37" s="16">
        <f t="shared" si="2"/>
        <v>1000.000032</v>
      </c>
      <c r="L37" s="16">
        <f t="shared" si="5"/>
        <v>9000.0000340000006</v>
      </c>
      <c r="M37" s="16">
        <f t="shared" si="3"/>
        <v>9.000000034000001</v>
      </c>
      <c r="N37" s="13">
        <f t="shared" si="1"/>
        <v>3.4000001036815775E-2</v>
      </c>
      <c r="O37" s="15">
        <f t="shared" si="4"/>
        <v>1.338580040819437</v>
      </c>
      <c r="Q37">
        <v>9</v>
      </c>
    </row>
    <row r="38" spans="8:17" x14ac:dyDescent="0.25">
      <c r="H38" t="s">
        <v>115</v>
      </c>
      <c r="I38" s="12">
        <v>39.370080000000002</v>
      </c>
      <c r="J38">
        <f t="shared" si="0"/>
        <v>3.9370080000000002E-2</v>
      </c>
      <c r="K38" s="16">
        <f t="shared" si="2"/>
        <v>1000.000032</v>
      </c>
      <c r="L38" s="16">
        <f t="shared" si="5"/>
        <v>10000.000066000001</v>
      </c>
      <c r="M38" s="16">
        <f t="shared" si="3"/>
        <v>10.000000066</v>
      </c>
      <c r="N38" s="13">
        <f t="shared" si="1"/>
        <v>6.6000000131793968E-2</v>
      </c>
      <c r="O38" s="15">
        <f t="shared" si="4"/>
        <v>2.5984200051887285</v>
      </c>
      <c r="Q38">
        <v>10</v>
      </c>
    </row>
    <row r="39" spans="8:17" x14ac:dyDescent="0.25">
      <c r="I39" s="12"/>
      <c r="K39" s="11"/>
      <c r="L39" s="11"/>
      <c r="O39" s="15"/>
    </row>
    <row r="40" spans="8:17" x14ac:dyDescent="0.25">
      <c r="H40" t="s">
        <v>116</v>
      </c>
      <c r="I40" s="12">
        <v>19.685040000000001</v>
      </c>
      <c r="J40">
        <f t="shared" ref="J40" si="6">I40/1000</f>
        <v>1.9685040000000001E-2</v>
      </c>
      <c r="K40" s="11">
        <f t="shared" ref="K40" si="7">J40*25.4*1000</f>
        <v>500.00001600000002</v>
      </c>
      <c r="L40" s="11">
        <f t="shared" ref="L40" si="8">L39+K40</f>
        <v>500.00001600000002</v>
      </c>
      <c r="M40">
        <f t="shared" si="3"/>
        <v>0.50000001599999999</v>
      </c>
      <c r="N40" s="13">
        <f t="shared" ref="N40" si="9">(M40-Q40)*1000000</f>
        <v>1.5999999991578306E-2</v>
      </c>
      <c r="O40" s="15">
        <f t="shared" si="4"/>
        <v>0.62991999966843792</v>
      </c>
      <c r="Q40">
        <v>0.5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8"/>
  <sheetViews>
    <sheetView workbookViewId="0">
      <selection activeCell="B10" sqref="B10"/>
    </sheetView>
  </sheetViews>
  <sheetFormatPr defaultRowHeight="15" x14ac:dyDescent="0.25"/>
  <cols>
    <col min="1" max="1" width="10.7109375" bestFit="1" customWidth="1"/>
    <col min="2" max="2" width="99.5703125" customWidth="1"/>
  </cols>
  <sheetData>
    <row r="1" spans="1:2" x14ac:dyDescent="0.25">
      <c r="A1" s="25" t="s">
        <v>117</v>
      </c>
      <c r="B1" s="26" t="s">
        <v>118</v>
      </c>
    </row>
    <row r="3" spans="1:2" x14ac:dyDescent="0.25">
      <c r="A3" t="s">
        <v>119</v>
      </c>
      <c r="B3" t="s">
        <v>120</v>
      </c>
    </row>
    <row r="4" spans="1:2" x14ac:dyDescent="0.25">
      <c r="A4" s="17">
        <v>42437</v>
      </c>
      <c r="B4" t="s">
        <v>121</v>
      </c>
    </row>
    <row r="5" spans="1:2" x14ac:dyDescent="0.25">
      <c r="A5" s="17">
        <v>42439</v>
      </c>
      <c r="B5" t="s">
        <v>122</v>
      </c>
    </row>
    <row r="6" spans="1:2" x14ac:dyDescent="0.25">
      <c r="A6" s="17">
        <v>42458</v>
      </c>
      <c r="B6" t="s">
        <v>123</v>
      </c>
    </row>
    <row r="7" spans="1:2" x14ac:dyDescent="0.25">
      <c r="A7" s="17">
        <v>42689</v>
      </c>
      <c r="B7" t="s">
        <v>124</v>
      </c>
    </row>
    <row r="8" spans="1:2" x14ac:dyDescent="0.25">
      <c r="A8" s="17">
        <v>42782</v>
      </c>
      <c r="B8" t="s">
        <v>125</v>
      </c>
    </row>
  </sheetData>
  <sheetProtection password="CC48" sheet="1" objects="1" scenarios="1" selectLockedCells="1" selectUnlockedCells="1"/>
  <hyperlinks>
    <hyperlink ref="B1" r:id="rId1" xr:uid="{00000000-0004-0000-0400-000000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K56"/>
  <sheetViews>
    <sheetView view="pageBreakPreview" zoomScale="90" zoomScaleNormal="100" zoomScaleSheetLayoutView="90" workbookViewId="0">
      <selection activeCell="D5" sqref="D5"/>
    </sheetView>
  </sheetViews>
  <sheetFormatPr defaultRowHeight="15" x14ac:dyDescent="0.25"/>
  <cols>
    <col min="2" max="2" width="2.5703125" customWidth="1"/>
    <col min="3" max="3" width="17" customWidth="1"/>
    <col min="4" max="4" width="8" customWidth="1"/>
    <col min="5" max="5" width="20" customWidth="1"/>
    <col min="6" max="6" width="7.7109375" customWidth="1"/>
    <col min="7" max="7" width="11.85546875" customWidth="1"/>
    <col min="9" max="9" width="6.140625" customWidth="1"/>
    <col min="10" max="10" width="3.5703125" customWidth="1"/>
    <col min="11" max="11" width="5.42578125" customWidth="1"/>
  </cols>
  <sheetData>
    <row r="1" spans="1:11" x14ac:dyDescent="0.25">
      <c r="A1" s="27"/>
      <c r="B1" s="28"/>
      <c r="C1" s="129" t="s">
        <v>126</v>
      </c>
      <c r="D1" s="129"/>
      <c r="E1" s="129"/>
      <c r="F1" s="129"/>
      <c r="G1" s="129"/>
      <c r="H1" s="29" t="s">
        <v>127</v>
      </c>
      <c r="I1" s="30">
        <v>2</v>
      </c>
      <c r="J1" s="31" t="s">
        <v>128</v>
      </c>
      <c r="K1" s="31">
        <v>2</v>
      </c>
    </row>
    <row r="2" spans="1:11" ht="16.5" customHeight="1" x14ac:dyDescent="0.25">
      <c r="A2" s="27"/>
      <c r="B2" s="130" t="s">
        <v>129</v>
      </c>
      <c r="C2" s="130"/>
      <c r="D2" s="130"/>
      <c r="E2" s="130"/>
      <c r="F2" s="130"/>
      <c r="G2" s="130"/>
      <c r="H2" s="130"/>
      <c r="I2" s="31"/>
      <c r="J2" s="31"/>
      <c r="K2" s="31"/>
    </row>
    <row r="3" spans="1:11" ht="15.75" customHeight="1" thickBot="1" x14ac:dyDescent="0.3">
      <c r="A3" s="27"/>
      <c r="B3" s="32"/>
      <c r="C3" s="33" t="s">
        <v>130</v>
      </c>
      <c r="D3" s="34" t="s">
        <v>131</v>
      </c>
      <c r="E3" s="29"/>
      <c r="F3" s="33" t="s">
        <v>119</v>
      </c>
      <c r="G3" s="35">
        <f>'TMTF3 no comps'!M1</f>
        <v>44623</v>
      </c>
      <c r="H3" s="31"/>
      <c r="I3" s="31"/>
      <c r="J3" s="31"/>
      <c r="K3" s="31"/>
    </row>
    <row r="4" spans="1:11" ht="16.5" customHeight="1" thickBot="1" x14ac:dyDescent="0.3">
      <c r="A4" s="27"/>
      <c r="B4" s="28"/>
      <c r="D4" s="29"/>
      <c r="E4" s="27"/>
      <c r="F4" s="36" t="s">
        <v>132</v>
      </c>
      <c r="G4" s="37" t="s">
        <v>133</v>
      </c>
      <c r="H4" s="31"/>
      <c r="I4" s="31"/>
      <c r="J4" s="31"/>
      <c r="K4" s="31"/>
    </row>
    <row r="5" spans="1:11" ht="39" customHeight="1" x14ac:dyDescent="0.25">
      <c r="A5" s="27"/>
      <c r="B5" s="38"/>
      <c r="C5" s="39" t="s">
        <v>134</v>
      </c>
      <c r="D5" s="39"/>
      <c r="E5" s="39" t="s">
        <v>27</v>
      </c>
      <c r="F5" s="39"/>
      <c r="G5" s="131" t="s">
        <v>135</v>
      </c>
      <c r="H5" s="131"/>
      <c r="I5" s="66"/>
      <c r="J5" s="31"/>
      <c r="K5" s="31"/>
    </row>
    <row r="6" spans="1:11" x14ac:dyDescent="0.25">
      <c r="A6" s="27"/>
      <c r="B6" s="40"/>
      <c r="C6" s="41">
        <f>'TMTF3 no comps'!B4</f>
        <v>4</v>
      </c>
      <c r="D6" s="42"/>
      <c r="E6" s="41">
        <f>'TMTF3 no comps'!I4</f>
        <v>0</v>
      </c>
      <c r="F6" s="43"/>
      <c r="G6" s="127">
        <f>ROUND(I6,2-(1+INT(LOG10(ABS(I6)))))</f>
        <v>310</v>
      </c>
      <c r="H6" s="128"/>
      <c r="I6" s="66">
        <f>C6*2+300</f>
        <v>308</v>
      </c>
      <c r="J6" s="31"/>
      <c r="K6" s="31"/>
    </row>
    <row r="7" spans="1:11" x14ac:dyDescent="0.25">
      <c r="A7" s="27"/>
      <c r="B7" s="40"/>
      <c r="C7" s="41">
        <f>'TMTF3 no comps'!B5</f>
        <v>12</v>
      </c>
      <c r="D7" s="42"/>
      <c r="E7" s="41">
        <f>'TMTF3 no comps'!I5</f>
        <v>2.0000000000006679E-3</v>
      </c>
      <c r="F7" s="43"/>
      <c r="G7" s="127">
        <f t="shared" ref="G7:G46" si="0">ROUND(I7,2-(1+INT(LOG10(ABS(I7)))))</f>
        <v>320</v>
      </c>
      <c r="H7" s="128"/>
      <c r="I7" s="66">
        <f t="shared" ref="I7:I36" si="1">C7*2+300</f>
        <v>324</v>
      </c>
      <c r="J7" s="31"/>
      <c r="K7" s="31"/>
    </row>
    <row r="8" spans="1:11" x14ac:dyDescent="0.25">
      <c r="A8" s="27"/>
      <c r="B8" s="40"/>
      <c r="C8" s="41">
        <f>'TMTF3 no comps'!B6</f>
        <v>24</v>
      </c>
      <c r="D8" s="42"/>
      <c r="E8" s="41">
        <f>'TMTF3 no comps'!I6</f>
        <v>1.9999999999988916E-3</v>
      </c>
      <c r="F8" s="43"/>
      <c r="G8" s="127">
        <f t="shared" si="0"/>
        <v>350</v>
      </c>
      <c r="H8" s="128"/>
      <c r="I8" s="66">
        <f t="shared" si="1"/>
        <v>348</v>
      </c>
      <c r="J8" s="31"/>
      <c r="K8" s="31"/>
    </row>
    <row r="9" spans="1:11" x14ac:dyDescent="0.25">
      <c r="A9" s="27"/>
      <c r="B9" s="40"/>
      <c r="C9" s="41">
        <f>'TMTF3 no comps'!B7</f>
        <v>36</v>
      </c>
      <c r="D9" s="42"/>
      <c r="E9" s="41">
        <f>'TMTF3 no comps'!I7</f>
        <v>6.9999999999978968E-3</v>
      </c>
      <c r="F9" s="43"/>
      <c r="G9" s="127">
        <f t="shared" si="0"/>
        <v>370</v>
      </c>
      <c r="H9" s="128"/>
      <c r="I9" s="66">
        <f t="shared" si="1"/>
        <v>372</v>
      </c>
      <c r="J9" s="31"/>
      <c r="K9" s="31"/>
    </row>
    <row r="10" spans="1:11" x14ac:dyDescent="0.25">
      <c r="A10" s="27"/>
      <c r="B10" s="40"/>
      <c r="C10" s="41">
        <f>'TMTF3 no comps'!B8</f>
        <v>48</v>
      </c>
      <c r="D10" s="42"/>
      <c r="E10" s="41">
        <f>'TMTF3 no comps'!I8</f>
        <v>6.9999999999978968E-3</v>
      </c>
      <c r="F10" s="43"/>
      <c r="G10" s="127">
        <f t="shared" si="0"/>
        <v>400</v>
      </c>
      <c r="H10" s="128"/>
      <c r="I10" s="66">
        <f t="shared" si="1"/>
        <v>396</v>
      </c>
      <c r="J10" s="31"/>
      <c r="K10" s="31"/>
    </row>
    <row r="11" spans="1:11" x14ac:dyDescent="0.25">
      <c r="A11" s="27"/>
      <c r="B11" s="40"/>
      <c r="C11" s="41">
        <f>'TMTF3 no comps'!B9</f>
        <v>60</v>
      </c>
      <c r="D11" s="42"/>
      <c r="E11" s="41">
        <f>'TMTF3 no comps'!I9</f>
        <v>3.9999999999977831E-3</v>
      </c>
      <c r="F11" s="43"/>
      <c r="G11" s="127">
        <f t="shared" si="0"/>
        <v>420</v>
      </c>
      <c r="H11" s="128"/>
      <c r="I11" s="66">
        <f t="shared" si="1"/>
        <v>420</v>
      </c>
      <c r="J11" s="31"/>
      <c r="K11" s="31"/>
    </row>
    <row r="12" spans="1:11" x14ac:dyDescent="0.25">
      <c r="A12" s="27"/>
      <c r="B12" s="40"/>
      <c r="C12" s="41">
        <f>'TMTF3 no comps'!B10</f>
        <v>72</v>
      </c>
      <c r="D12" s="42"/>
      <c r="E12" s="41">
        <f>'TMTF3 no comps'!I10</f>
        <v>-1.9999999999953388E-3</v>
      </c>
      <c r="F12" s="43"/>
      <c r="G12" s="127">
        <f t="shared" si="0"/>
        <v>440</v>
      </c>
      <c r="H12" s="128"/>
      <c r="I12" s="66">
        <f t="shared" si="1"/>
        <v>444</v>
      </c>
      <c r="J12" s="31"/>
      <c r="K12" s="31"/>
    </row>
    <row r="13" spans="1:11" x14ac:dyDescent="0.25">
      <c r="A13" s="27"/>
      <c r="B13" s="40"/>
      <c r="C13" s="41">
        <f>'TMTF3 no comps'!B11</f>
        <v>84</v>
      </c>
      <c r="D13" s="42"/>
      <c r="E13" s="41">
        <f>'TMTF3 no comps'!I11</f>
        <v>-1.9999999999953388E-3</v>
      </c>
      <c r="F13" s="43"/>
      <c r="G13" s="127">
        <f t="shared" si="0"/>
        <v>470</v>
      </c>
      <c r="H13" s="128"/>
      <c r="I13" s="66">
        <f t="shared" si="1"/>
        <v>468</v>
      </c>
      <c r="J13" s="31"/>
      <c r="K13" s="31"/>
    </row>
    <row r="14" spans="1:11" x14ac:dyDescent="0.25">
      <c r="A14" s="27"/>
      <c r="B14" s="40"/>
      <c r="C14" s="41">
        <f>'TMTF3 no comps'!B12</f>
        <v>96</v>
      </c>
      <c r="D14" s="42"/>
      <c r="E14" s="41">
        <f>'TMTF3 no comps'!I12</f>
        <v>-1.9999999999953388E-3</v>
      </c>
      <c r="F14" s="43"/>
      <c r="G14" s="127">
        <f t="shared" si="0"/>
        <v>490</v>
      </c>
      <c r="H14" s="128"/>
      <c r="I14" s="66">
        <f t="shared" si="1"/>
        <v>492</v>
      </c>
      <c r="J14" s="31"/>
      <c r="K14" s="31"/>
    </row>
    <row r="15" spans="1:11" ht="15.75" customHeight="1" x14ac:dyDescent="0.25">
      <c r="A15" s="27"/>
      <c r="B15" s="40"/>
      <c r="C15" s="41">
        <f>'TMTF3 no comps'!B13</f>
        <v>108</v>
      </c>
      <c r="D15" s="42"/>
      <c r="E15" s="41">
        <f>'TMTF3 no comps'!I13</f>
        <v>-4.9999999999954525E-3</v>
      </c>
      <c r="F15" s="43"/>
      <c r="G15" s="127">
        <f t="shared" si="0"/>
        <v>520</v>
      </c>
      <c r="H15" s="128"/>
      <c r="I15" s="66">
        <f t="shared" si="1"/>
        <v>516</v>
      </c>
      <c r="J15" s="31"/>
      <c r="K15" s="31"/>
    </row>
    <row r="16" spans="1:11" x14ac:dyDescent="0.25">
      <c r="A16" s="27"/>
      <c r="B16" s="44"/>
      <c r="C16" s="41">
        <f>'TMTF3 no comps'!B14</f>
        <v>120</v>
      </c>
      <c r="D16" s="42"/>
      <c r="E16" s="41">
        <f>'TMTF3 no comps'!I14</f>
        <v>-7.9999999999955662E-3</v>
      </c>
      <c r="F16" s="43"/>
      <c r="G16" s="127">
        <f t="shared" si="0"/>
        <v>540</v>
      </c>
      <c r="H16" s="128"/>
      <c r="I16" s="66">
        <f t="shared" si="1"/>
        <v>540</v>
      </c>
      <c r="J16" s="31"/>
      <c r="K16" s="31"/>
    </row>
    <row r="17" spans="1:11" x14ac:dyDescent="0.25">
      <c r="A17" s="27"/>
      <c r="B17" s="44"/>
      <c r="C17" s="41">
        <f>'TMTF3 no comps'!B15</f>
        <v>132</v>
      </c>
      <c r="D17" s="42"/>
      <c r="E17" s="41">
        <f>'TMTF3 no comps'!I15</f>
        <v>-2.0000000000095497E-3</v>
      </c>
      <c r="F17" s="43"/>
      <c r="G17" s="127">
        <f t="shared" si="0"/>
        <v>560</v>
      </c>
      <c r="H17" s="128"/>
      <c r="I17" s="66">
        <f t="shared" si="1"/>
        <v>564</v>
      </c>
      <c r="J17" s="31"/>
      <c r="K17" s="31"/>
    </row>
    <row r="18" spans="1:11" x14ac:dyDescent="0.25">
      <c r="A18" s="27"/>
      <c r="B18" s="44"/>
      <c r="C18" s="41">
        <f>'TMTF3 no comps'!B16</f>
        <v>144</v>
      </c>
      <c r="D18" s="42"/>
      <c r="E18" s="41">
        <f>'TMTF3 no comps'!I16</f>
        <v>-2.0000000000095497E-3</v>
      </c>
      <c r="F18" s="43"/>
      <c r="G18" s="127">
        <f t="shared" si="0"/>
        <v>590</v>
      </c>
      <c r="H18" s="128"/>
      <c r="I18" s="66">
        <f t="shared" si="1"/>
        <v>588</v>
      </c>
      <c r="J18" s="31"/>
      <c r="K18" s="31"/>
    </row>
    <row r="19" spans="1:11" x14ac:dyDescent="0.25">
      <c r="A19" s="27"/>
      <c r="B19" s="44"/>
      <c r="C19" s="41">
        <f>'TMTF3 no comps'!B17</f>
        <v>156</v>
      </c>
      <c r="D19" s="42"/>
      <c r="E19" s="41">
        <f>'TMTF3 no comps'!I17</f>
        <v>0</v>
      </c>
      <c r="F19" s="43"/>
      <c r="G19" s="127">
        <f t="shared" si="0"/>
        <v>610</v>
      </c>
      <c r="H19" s="128"/>
      <c r="I19" s="66">
        <f t="shared" si="1"/>
        <v>612</v>
      </c>
      <c r="J19" s="31"/>
      <c r="K19" s="31"/>
    </row>
    <row r="20" spans="1:11" x14ac:dyDescent="0.25">
      <c r="A20" s="27"/>
      <c r="B20" s="44"/>
      <c r="C20" s="41">
        <f>'TMTF3 no comps'!B18</f>
        <v>168</v>
      </c>
      <c r="D20" s="42"/>
      <c r="E20" s="41">
        <f>'TMTF3 no comps'!I18</f>
        <v>-4.9999999999954525E-3</v>
      </c>
      <c r="F20" s="43"/>
      <c r="G20" s="127">
        <f t="shared" si="0"/>
        <v>640</v>
      </c>
      <c r="H20" s="128"/>
      <c r="I20" s="66">
        <f t="shared" si="1"/>
        <v>636</v>
      </c>
      <c r="J20" s="31"/>
      <c r="K20" s="31"/>
    </row>
    <row r="21" spans="1:11" x14ac:dyDescent="0.25">
      <c r="A21" s="27"/>
      <c r="B21" s="44"/>
      <c r="C21" s="41">
        <f>'TMTF3 no comps'!B19</f>
        <v>180</v>
      </c>
      <c r="D21" s="42"/>
      <c r="E21" s="41">
        <f>'TMTF3 no comps'!I19</f>
        <v>-4.9999999999954525E-3</v>
      </c>
      <c r="F21" s="43"/>
      <c r="G21" s="127">
        <f t="shared" si="0"/>
        <v>660</v>
      </c>
      <c r="H21" s="128"/>
      <c r="I21" s="66">
        <f t="shared" si="1"/>
        <v>660</v>
      </c>
      <c r="J21" s="31"/>
      <c r="K21" s="31"/>
    </row>
    <row r="22" spans="1:11" x14ac:dyDescent="0.25">
      <c r="A22" s="27"/>
      <c r="B22" s="44"/>
      <c r="C22" s="41">
        <f>'TMTF3 no comps'!B20</f>
        <v>192</v>
      </c>
      <c r="D22" s="42"/>
      <c r="E22" s="41">
        <f>'TMTF3 no comps'!I20</f>
        <v>3.9999999999906777E-3</v>
      </c>
      <c r="F22" s="43"/>
      <c r="G22" s="127">
        <f t="shared" si="0"/>
        <v>680</v>
      </c>
      <c r="H22" s="128"/>
      <c r="I22" s="66">
        <f t="shared" si="1"/>
        <v>684</v>
      </c>
      <c r="J22" s="31"/>
      <c r="K22" s="31"/>
    </row>
    <row r="23" spans="1:11" x14ac:dyDescent="0.25">
      <c r="A23" s="27"/>
      <c r="B23" s="44"/>
      <c r="C23" s="41">
        <f>'TMTF3 no comps'!B21</f>
        <v>204</v>
      </c>
      <c r="D23" s="42"/>
      <c r="E23" s="41">
        <f>'TMTF3 no comps'!I21</f>
        <v>6.0000000000002274E-3</v>
      </c>
      <c r="F23" s="43"/>
      <c r="G23" s="127">
        <f t="shared" si="0"/>
        <v>710</v>
      </c>
      <c r="H23" s="128"/>
      <c r="I23" s="66">
        <f t="shared" si="1"/>
        <v>708</v>
      </c>
      <c r="J23" s="31"/>
      <c r="K23" s="31"/>
    </row>
    <row r="24" spans="1:11" x14ac:dyDescent="0.25">
      <c r="A24" s="27"/>
      <c r="B24" s="44"/>
      <c r="C24" s="41">
        <f>'TMTF3 no comps'!B22</f>
        <v>216</v>
      </c>
      <c r="D24" s="42"/>
      <c r="E24" s="41">
        <f>'TMTF3 no comps'!I22</f>
        <v>7.0000000000050022E-3</v>
      </c>
      <c r="F24" s="43"/>
      <c r="G24" s="127">
        <f t="shared" si="0"/>
        <v>730</v>
      </c>
      <c r="H24" s="128"/>
      <c r="I24" s="66">
        <f t="shared" si="1"/>
        <v>732</v>
      </c>
      <c r="J24" s="31"/>
      <c r="K24" s="31"/>
    </row>
    <row r="25" spans="1:11" x14ac:dyDescent="0.25">
      <c r="A25" s="27"/>
      <c r="B25" s="44"/>
      <c r="C25" s="41">
        <f>'TMTF3 no comps'!B23</f>
        <v>228</v>
      </c>
      <c r="D25" s="42"/>
      <c r="E25" s="41">
        <f>'TMTF3 no comps'!I23</f>
        <v>4.9999999999954525E-3</v>
      </c>
      <c r="F25" s="43"/>
      <c r="G25" s="127">
        <f t="shared" si="0"/>
        <v>760</v>
      </c>
      <c r="H25" s="128"/>
      <c r="I25" s="66">
        <f t="shared" si="1"/>
        <v>756</v>
      </c>
      <c r="J25" s="31"/>
      <c r="K25" s="31"/>
    </row>
    <row r="26" spans="1:11" x14ac:dyDescent="0.25">
      <c r="A26" s="27"/>
      <c r="B26" s="44"/>
      <c r="C26" s="41">
        <f>'TMTF3 no comps'!B24</f>
        <v>240</v>
      </c>
      <c r="D26" s="42"/>
      <c r="E26" s="41">
        <f>'TMTF3 no comps'!I24</f>
        <v>4.9999999999954525E-3</v>
      </c>
      <c r="F26" s="43"/>
      <c r="G26" s="127">
        <f t="shared" si="0"/>
        <v>780</v>
      </c>
      <c r="H26" s="128"/>
      <c r="I26" s="66">
        <f t="shared" si="1"/>
        <v>780</v>
      </c>
      <c r="J26" s="31"/>
      <c r="K26" s="31"/>
    </row>
    <row r="27" spans="1:11" x14ac:dyDescent="0.25">
      <c r="A27" s="27"/>
      <c r="B27" s="44"/>
      <c r="C27" s="41">
        <f>'TMTF3 no comps'!B25</f>
        <v>252</v>
      </c>
      <c r="D27" s="42"/>
      <c r="E27" s="41">
        <f>'TMTF3 no comps'!I25</f>
        <v>9.9999999999909051E-3</v>
      </c>
      <c r="F27" s="43"/>
      <c r="G27" s="127">
        <f t="shared" si="0"/>
        <v>800</v>
      </c>
      <c r="H27" s="128"/>
      <c r="I27" s="66">
        <f t="shared" si="1"/>
        <v>804</v>
      </c>
      <c r="J27" s="31"/>
      <c r="K27" s="31"/>
    </row>
    <row r="28" spans="1:11" x14ac:dyDescent="0.25">
      <c r="A28" s="27"/>
      <c r="B28" s="44"/>
      <c r="C28" s="41">
        <f>'TMTF3 no comps'!B26</f>
        <v>264</v>
      </c>
      <c r="D28" s="42"/>
      <c r="E28" s="41">
        <f>'TMTF3 no comps'!I26</f>
        <v>8.0000000000381988E-3</v>
      </c>
      <c r="F28" s="43"/>
      <c r="G28" s="127">
        <f t="shared" si="0"/>
        <v>830</v>
      </c>
      <c r="H28" s="128"/>
      <c r="I28" s="66">
        <f t="shared" si="1"/>
        <v>828</v>
      </c>
      <c r="J28" s="31"/>
      <c r="K28" s="31"/>
    </row>
    <row r="29" spans="1:11" x14ac:dyDescent="0.25">
      <c r="A29" s="27"/>
      <c r="B29" s="44"/>
      <c r="C29" s="41">
        <f>'TMTF3 no comps'!B27</f>
        <v>276</v>
      </c>
      <c r="D29" s="42"/>
      <c r="E29" s="41">
        <f>'TMTF3 no comps'!I27</f>
        <v>1.1000000000024102E-2</v>
      </c>
      <c r="F29" s="43"/>
      <c r="G29" s="127">
        <f t="shared" si="0"/>
        <v>850</v>
      </c>
      <c r="H29" s="128"/>
      <c r="I29" s="66">
        <f t="shared" si="1"/>
        <v>852</v>
      </c>
      <c r="J29" s="31"/>
      <c r="K29" s="31"/>
    </row>
    <row r="30" spans="1:11" x14ac:dyDescent="0.25">
      <c r="A30" s="27"/>
      <c r="B30" s="44"/>
      <c r="C30" s="41">
        <f>'TMTF3 no comps'!B28</f>
        <v>288</v>
      </c>
      <c r="D30" s="42"/>
      <c r="E30" s="41">
        <f>'TMTF3 no comps'!I28</f>
        <v>1.1000000000024102E-2</v>
      </c>
      <c r="F30" s="43"/>
      <c r="G30" s="127">
        <f t="shared" si="0"/>
        <v>880</v>
      </c>
      <c r="H30" s="128"/>
      <c r="I30" s="66">
        <f t="shared" si="1"/>
        <v>876</v>
      </c>
      <c r="J30" s="31"/>
      <c r="K30" s="31"/>
    </row>
    <row r="31" spans="1:11" x14ac:dyDescent="0.25">
      <c r="A31" s="27"/>
      <c r="B31" s="44"/>
      <c r="C31" s="41">
        <f>'TMTF3 no comps'!B29</f>
        <v>300</v>
      </c>
      <c r="D31" s="42"/>
      <c r="E31" s="41">
        <f>'TMTF3 no comps'!I29</f>
        <v>1.1000000000024102E-2</v>
      </c>
      <c r="F31" s="43"/>
      <c r="G31" s="127">
        <f t="shared" si="0"/>
        <v>900</v>
      </c>
      <c r="H31" s="128"/>
      <c r="I31" s="66">
        <f t="shared" si="1"/>
        <v>900</v>
      </c>
      <c r="J31" s="31"/>
      <c r="K31" s="31"/>
    </row>
    <row r="32" spans="1:11" x14ac:dyDescent="0.25">
      <c r="A32" s="27"/>
      <c r="B32" s="44"/>
      <c r="C32" s="41">
        <f>'TMTF3 no comps'!B30</f>
        <v>312</v>
      </c>
      <c r="D32" s="42"/>
      <c r="E32" s="41">
        <f>'TMTF3 no comps'!I30</f>
        <v>9.0000000000145519E-3</v>
      </c>
      <c r="F32" s="43"/>
      <c r="G32" s="127">
        <f t="shared" si="0"/>
        <v>920</v>
      </c>
      <c r="H32" s="128"/>
      <c r="I32" s="66">
        <f t="shared" si="1"/>
        <v>924</v>
      </c>
      <c r="J32" s="31"/>
      <c r="K32" s="31"/>
    </row>
    <row r="33" spans="1:11" x14ac:dyDescent="0.25">
      <c r="A33" s="27"/>
      <c r="B33" s="44"/>
      <c r="C33" s="41">
        <f>'TMTF3 no comps'!B31</f>
        <v>324</v>
      </c>
      <c r="D33" s="42"/>
      <c r="E33" s="41">
        <f>'TMTF3 no comps'!I31</f>
        <v>9.0000000000145519E-3</v>
      </c>
      <c r="F33" s="43"/>
      <c r="G33" s="127">
        <f t="shared" si="0"/>
        <v>950</v>
      </c>
      <c r="H33" s="128"/>
      <c r="I33" s="66">
        <f t="shared" si="1"/>
        <v>948</v>
      </c>
      <c r="J33" s="31"/>
      <c r="K33" s="31"/>
    </row>
    <row r="34" spans="1:11" x14ac:dyDescent="0.25">
      <c r="A34" s="27"/>
      <c r="B34" s="44"/>
      <c r="C34" s="41">
        <f>'TMTF3 no comps'!B32</f>
        <v>336</v>
      </c>
      <c r="D34" s="42"/>
      <c r="E34" s="41">
        <f>'TMTF3 no comps'!I32</f>
        <v>7.0000000000050022E-3</v>
      </c>
      <c r="F34" s="43"/>
      <c r="G34" s="127">
        <f t="shared" si="0"/>
        <v>970</v>
      </c>
      <c r="H34" s="128"/>
      <c r="I34" s="66">
        <f t="shared" si="1"/>
        <v>972</v>
      </c>
      <c r="J34" s="31"/>
      <c r="K34" s="31"/>
    </row>
    <row r="35" spans="1:11" x14ac:dyDescent="0.25">
      <c r="A35" s="27"/>
      <c r="B35" s="44"/>
      <c r="C35" s="41">
        <f>'TMTF3 no comps'!B33</f>
        <v>348</v>
      </c>
      <c r="D35" s="42"/>
      <c r="E35" s="41">
        <f>'TMTF3 no comps'!I33</f>
        <v>-2.9999999999859028E-3</v>
      </c>
      <c r="F35" s="43"/>
      <c r="G35" s="127">
        <f t="shared" si="0"/>
        <v>1000</v>
      </c>
      <c r="H35" s="128"/>
      <c r="I35" s="66">
        <f t="shared" si="1"/>
        <v>996</v>
      </c>
      <c r="J35" s="31"/>
      <c r="K35" s="31"/>
    </row>
    <row r="36" spans="1:11" x14ac:dyDescent="0.25">
      <c r="A36" s="27"/>
      <c r="B36" s="44"/>
      <c r="C36" s="41">
        <f>'TMTF3 no comps'!B34</f>
        <v>360</v>
      </c>
      <c r="D36" s="42"/>
      <c r="E36" s="41">
        <f>'TMTF3 no comps'!I34</f>
        <v>-7.9999999999813554E-3</v>
      </c>
      <c r="F36" s="43"/>
      <c r="G36" s="127">
        <f t="shared" si="0"/>
        <v>1000</v>
      </c>
      <c r="H36" s="128"/>
      <c r="I36" s="66">
        <f t="shared" si="1"/>
        <v>1020</v>
      </c>
      <c r="J36" s="31"/>
      <c r="K36" s="31"/>
    </row>
    <row r="37" spans="1:11" x14ac:dyDescent="0.25">
      <c r="A37" s="27"/>
      <c r="B37" s="44"/>
      <c r="C37" s="45">
        <f>'TMTF3 no comps'!M7</f>
        <v>100</v>
      </c>
      <c r="D37" s="42"/>
      <c r="E37" s="45">
        <f>'TMTF3 no comps'!R7</f>
        <v>1.0000000000005116E-2</v>
      </c>
      <c r="F37" s="43"/>
      <c r="G37" s="132">
        <f t="shared" si="0"/>
        <v>7</v>
      </c>
      <c r="H37" s="133"/>
      <c r="I37" s="66">
        <f>C37*0.0022+6.8</f>
        <v>7.02</v>
      </c>
      <c r="J37" s="31"/>
      <c r="K37" s="31"/>
    </row>
    <row r="38" spans="1:11" x14ac:dyDescent="0.25">
      <c r="A38" s="27"/>
      <c r="B38" s="44"/>
      <c r="C38" s="45">
        <f>'TMTF3 no comps'!M8</f>
        <v>1000</v>
      </c>
      <c r="D38" s="42"/>
      <c r="E38" s="45">
        <f>'TMTF3 no comps'!R8</f>
        <v>4.399999999998272E-2</v>
      </c>
      <c r="F38" s="43"/>
      <c r="G38" s="132">
        <f t="shared" si="0"/>
        <v>9</v>
      </c>
      <c r="H38" s="133"/>
      <c r="I38" s="66">
        <f t="shared" ref="I38:I46" si="2">C38*0.0022+6.8</f>
        <v>9</v>
      </c>
      <c r="J38" s="31"/>
      <c r="K38" s="31"/>
    </row>
    <row r="39" spans="1:11" x14ac:dyDescent="0.25">
      <c r="A39" s="27"/>
      <c r="B39" s="44"/>
      <c r="C39" s="45">
        <f>'TMTF3 no comps'!M9</f>
        <v>2000</v>
      </c>
      <c r="D39" s="42"/>
      <c r="E39" s="45">
        <f>'TMTF3 no comps'!R9</f>
        <v>0.42000000000007276</v>
      </c>
      <c r="F39" s="43"/>
      <c r="G39" s="132">
        <f t="shared" si="0"/>
        <v>11</v>
      </c>
      <c r="H39" s="133"/>
      <c r="I39" s="66">
        <f t="shared" si="2"/>
        <v>11.2</v>
      </c>
      <c r="J39" s="31"/>
      <c r="K39" s="31"/>
    </row>
    <row r="40" spans="1:11" x14ac:dyDescent="0.25">
      <c r="A40" s="27"/>
      <c r="B40" s="44"/>
      <c r="C40" s="45">
        <f>'TMTF3 no comps'!M10</f>
        <v>3000</v>
      </c>
      <c r="D40" s="42"/>
      <c r="E40" s="45">
        <f>'TMTF3 no comps'!R10</f>
        <v>0.11299999999982901</v>
      </c>
      <c r="F40" s="43"/>
      <c r="G40" s="132">
        <f t="shared" si="0"/>
        <v>13</v>
      </c>
      <c r="H40" s="133"/>
      <c r="I40" s="66">
        <f t="shared" si="2"/>
        <v>13.4</v>
      </c>
      <c r="J40" s="31"/>
      <c r="K40" s="31"/>
    </row>
    <row r="41" spans="1:11" x14ac:dyDescent="0.25">
      <c r="A41" s="27"/>
      <c r="B41" s="44"/>
      <c r="C41" s="45">
        <f>'TMTF3 no comps'!M11</f>
        <v>4000</v>
      </c>
      <c r="D41" s="42"/>
      <c r="E41" s="45">
        <f>'TMTF3 no comps'!R11</f>
        <v>0.24299999999993815</v>
      </c>
      <c r="F41" s="43"/>
      <c r="G41" s="132">
        <f t="shared" si="0"/>
        <v>16</v>
      </c>
      <c r="H41" s="133"/>
      <c r="I41" s="66">
        <f t="shared" si="2"/>
        <v>15.600000000000001</v>
      </c>
      <c r="J41" s="31"/>
      <c r="K41" s="31"/>
    </row>
    <row r="42" spans="1:11" x14ac:dyDescent="0.25">
      <c r="A42" s="27"/>
      <c r="B42" s="44"/>
      <c r="C42" s="45">
        <f>'TMTF3 no comps'!M12</f>
        <v>5000</v>
      </c>
      <c r="D42" s="42"/>
      <c r="E42" s="45">
        <f>'TMTF3 no comps'!R12</f>
        <v>0.62439999999969586</v>
      </c>
      <c r="F42" s="43"/>
      <c r="G42" s="132">
        <f t="shared" si="0"/>
        <v>18</v>
      </c>
      <c r="H42" s="133"/>
      <c r="I42" s="66">
        <f t="shared" si="2"/>
        <v>17.8</v>
      </c>
      <c r="J42" s="31"/>
      <c r="K42" s="31"/>
    </row>
    <row r="43" spans="1:11" x14ac:dyDescent="0.25">
      <c r="A43" s="27"/>
      <c r="B43" s="44"/>
      <c r="C43" s="45">
        <f>'TMTF3 no comps'!M13</f>
        <v>6000</v>
      </c>
      <c r="D43" s="42"/>
      <c r="E43" s="45">
        <f>'TMTF3 no comps'!R13</f>
        <v>0.83979999999974098</v>
      </c>
      <c r="F43" s="43"/>
      <c r="G43" s="132">
        <f t="shared" si="0"/>
        <v>20</v>
      </c>
      <c r="H43" s="133"/>
      <c r="I43" s="66">
        <f t="shared" si="2"/>
        <v>20</v>
      </c>
      <c r="J43" s="31"/>
      <c r="K43" s="31"/>
    </row>
    <row r="44" spans="1:11" x14ac:dyDescent="0.25">
      <c r="A44" s="27"/>
      <c r="B44" s="44"/>
      <c r="C44" s="45">
        <f>'TMTF3 no comps'!M14</f>
        <v>7000</v>
      </c>
      <c r="D44" s="42"/>
      <c r="E44" s="45">
        <f>'TMTF3 no comps'!R14</f>
        <v>0.96079999999983556</v>
      </c>
      <c r="F44" s="43"/>
      <c r="G44" s="132">
        <f t="shared" si="0"/>
        <v>22</v>
      </c>
      <c r="H44" s="133"/>
      <c r="I44" s="66">
        <f t="shared" si="2"/>
        <v>22.2</v>
      </c>
      <c r="J44" s="31"/>
      <c r="K44" s="31"/>
    </row>
    <row r="45" spans="1:11" x14ac:dyDescent="0.25">
      <c r="A45" s="27"/>
      <c r="B45" s="44"/>
      <c r="C45" s="45">
        <f>'TMTF3 no comps'!M15</f>
        <v>8000</v>
      </c>
      <c r="D45" s="42"/>
      <c r="E45" s="45">
        <f>'TMTF3 no comps'!R15</f>
        <v>0.93519999999989523</v>
      </c>
      <c r="F45" s="43"/>
      <c r="G45" s="132">
        <f t="shared" si="0"/>
        <v>24</v>
      </c>
      <c r="H45" s="133"/>
      <c r="I45" s="66">
        <f t="shared" si="2"/>
        <v>24.400000000000002</v>
      </c>
      <c r="J45" s="31"/>
      <c r="K45" s="31"/>
    </row>
    <row r="46" spans="1:11" x14ac:dyDescent="0.25">
      <c r="A46" s="27"/>
      <c r="B46" s="44"/>
      <c r="C46" s="45">
        <f>'TMTF3 no comps'!M16</f>
        <v>9000</v>
      </c>
      <c r="D46" s="42"/>
      <c r="E46" s="45">
        <f>'TMTF3 no comps'!R16</f>
        <v>0.94419999999990978</v>
      </c>
      <c r="F46" s="43"/>
      <c r="G46" s="132">
        <f t="shared" si="0"/>
        <v>27</v>
      </c>
      <c r="H46" s="133"/>
      <c r="I46" s="66">
        <f t="shared" si="2"/>
        <v>26.6</v>
      </c>
      <c r="J46" s="31"/>
      <c r="K46" s="31"/>
    </row>
    <row r="47" spans="1:11" x14ac:dyDescent="0.25">
      <c r="A47" s="27"/>
      <c r="B47" s="44"/>
      <c r="C47" s="46"/>
      <c r="D47" s="47"/>
      <c r="E47" s="48"/>
      <c r="F47" s="49"/>
      <c r="G47" s="134"/>
      <c r="H47" s="135"/>
      <c r="I47" s="66"/>
      <c r="J47" s="31"/>
      <c r="K47" s="31"/>
    </row>
    <row r="48" spans="1:11" x14ac:dyDescent="0.25">
      <c r="A48" s="27"/>
      <c r="B48" s="50"/>
      <c r="C48" s="136" t="s">
        <v>136</v>
      </c>
      <c r="D48" s="137"/>
      <c r="E48" s="137"/>
      <c r="F48" s="137"/>
      <c r="G48" s="137"/>
      <c r="H48" s="138"/>
      <c r="I48" s="67"/>
      <c r="J48" s="31"/>
      <c r="K48" s="31"/>
    </row>
    <row r="49" spans="1:11" x14ac:dyDescent="0.25">
      <c r="B49" s="50"/>
      <c r="C49" s="51"/>
      <c r="D49" s="52"/>
      <c r="E49" s="53"/>
      <c r="F49" s="54"/>
      <c r="G49" s="134"/>
      <c r="H49" s="135"/>
      <c r="I49" s="66"/>
      <c r="J49" s="31"/>
      <c r="K49" s="31"/>
    </row>
    <row r="50" spans="1:11" x14ac:dyDescent="0.25">
      <c r="A50" s="27"/>
      <c r="B50" s="50"/>
      <c r="C50" s="55"/>
      <c r="D50" s="56" t="s">
        <v>137</v>
      </c>
      <c r="E50" s="57" t="s">
        <v>138</v>
      </c>
      <c r="F50" s="58"/>
      <c r="G50" s="141"/>
      <c r="H50" s="142"/>
      <c r="I50" s="31"/>
      <c r="J50" s="31"/>
      <c r="K50" s="31"/>
    </row>
    <row r="51" spans="1:11" x14ac:dyDescent="0.25">
      <c r="A51" s="27"/>
      <c r="B51" s="50"/>
      <c r="C51" s="59"/>
      <c r="D51" s="56" t="s">
        <v>139</v>
      </c>
      <c r="E51" s="57" t="s">
        <v>140</v>
      </c>
      <c r="F51" s="58"/>
      <c r="G51" s="141"/>
      <c r="H51" s="142"/>
      <c r="I51" s="31"/>
      <c r="J51" s="31"/>
      <c r="K51" s="31"/>
    </row>
    <row r="52" spans="1:11" x14ac:dyDescent="0.25">
      <c r="A52" s="27"/>
      <c r="B52" s="50"/>
      <c r="C52" s="59"/>
      <c r="D52" s="56" t="s">
        <v>141</v>
      </c>
      <c r="E52" s="57" t="s">
        <v>142</v>
      </c>
      <c r="F52" s="58"/>
      <c r="G52" s="141"/>
      <c r="H52" s="142"/>
      <c r="I52" s="31"/>
      <c r="J52" s="31"/>
      <c r="K52" s="31"/>
    </row>
    <row r="53" spans="1:11" x14ac:dyDescent="0.25">
      <c r="A53" s="27"/>
      <c r="B53" s="50"/>
      <c r="C53" s="59"/>
      <c r="D53" s="56" t="s">
        <v>143</v>
      </c>
      <c r="E53" s="57" t="s">
        <v>144</v>
      </c>
      <c r="F53" s="58"/>
      <c r="G53" s="141"/>
      <c r="H53" s="142"/>
      <c r="I53" s="31"/>
      <c r="J53" s="31"/>
      <c r="K53" s="31"/>
    </row>
    <row r="54" spans="1:11" x14ac:dyDescent="0.25">
      <c r="A54" s="27"/>
      <c r="B54" s="50"/>
      <c r="C54" s="59"/>
      <c r="D54" s="56" t="s">
        <v>145</v>
      </c>
      <c r="E54" s="60" t="s">
        <v>146</v>
      </c>
      <c r="F54" s="58"/>
      <c r="G54" s="141"/>
      <c r="H54" s="142"/>
      <c r="I54" s="31"/>
      <c r="J54" s="31"/>
      <c r="K54" s="31"/>
    </row>
    <row r="55" spans="1:11" x14ac:dyDescent="0.25">
      <c r="A55" s="27"/>
      <c r="B55" s="50"/>
      <c r="C55" s="59"/>
      <c r="D55" s="56"/>
      <c r="E55" s="57"/>
      <c r="F55" s="58"/>
      <c r="G55" s="141"/>
      <c r="H55" s="142"/>
      <c r="I55" s="31"/>
      <c r="J55" s="31"/>
      <c r="K55" s="31"/>
    </row>
    <row r="56" spans="1:11" x14ac:dyDescent="0.25">
      <c r="A56" s="27"/>
      <c r="B56" s="61"/>
      <c r="C56" s="62"/>
      <c r="D56" s="63" t="s">
        <v>147</v>
      </c>
      <c r="E56" s="64" t="s">
        <v>148</v>
      </c>
      <c r="F56" s="65"/>
      <c r="G56" s="139"/>
      <c r="H56" s="140"/>
      <c r="I56" s="31"/>
      <c r="J56" s="31"/>
      <c r="K56" s="31"/>
    </row>
  </sheetData>
  <sheetProtection selectLockedCells="1" selectUnlockedCells="1"/>
  <mergeCells count="54">
    <mergeCell ref="G56:H56"/>
    <mergeCell ref="G43:H43"/>
    <mergeCell ref="G44:H44"/>
    <mergeCell ref="G45:H45"/>
    <mergeCell ref="G50:H50"/>
    <mergeCell ref="G51:H51"/>
    <mergeCell ref="G52:H52"/>
    <mergeCell ref="G53:H53"/>
    <mergeCell ref="G54:H54"/>
    <mergeCell ref="G55:H55"/>
    <mergeCell ref="G37:H37"/>
    <mergeCell ref="G38:H38"/>
    <mergeCell ref="G39:H39"/>
    <mergeCell ref="G40:H40"/>
    <mergeCell ref="G41:H41"/>
    <mergeCell ref="G42:H42"/>
    <mergeCell ref="G46:H46"/>
    <mergeCell ref="G47:H47"/>
    <mergeCell ref="G49:H49"/>
    <mergeCell ref="C48:H48"/>
    <mergeCell ref="G36:H36"/>
    <mergeCell ref="G25:H25"/>
    <mergeCell ref="G26:H26"/>
    <mergeCell ref="G27:H27"/>
    <mergeCell ref="G28:H28"/>
    <mergeCell ref="G29:H29"/>
    <mergeCell ref="G30:H30"/>
    <mergeCell ref="G31:H31"/>
    <mergeCell ref="G32:H32"/>
    <mergeCell ref="G33:H33"/>
    <mergeCell ref="G34:H34"/>
    <mergeCell ref="G35:H35"/>
    <mergeCell ref="G24:H24"/>
    <mergeCell ref="G13:H13"/>
    <mergeCell ref="G14:H14"/>
    <mergeCell ref="G15:H15"/>
    <mergeCell ref="G16:H16"/>
    <mergeCell ref="G17:H17"/>
    <mergeCell ref="G18:H18"/>
    <mergeCell ref="G19:H19"/>
    <mergeCell ref="G20:H20"/>
    <mergeCell ref="G21:H21"/>
    <mergeCell ref="G22:H22"/>
    <mergeCell ref="G23:H23"/>
    <mergeCell ref="C1:G1"/>
    <mergeCell ref="B2:H2"/>
    <mergeCell ref="G5:H5"/>
    <mergeCell ref="G6:H6"/>
    <mergeCell ref="G7:H7"/>
    <mergeCell ref="G8:H8"/>
    <mergeCell ref="G9:H9"/>
    <mergeCell ref="G10:H10"/>
    <mergeCell ref="G11:H11"/>
    <mergeCell ref="G12:H12"/>
  </mergeCells>
  <pageMargins left="0.7" right="0.7" top="0.75" bottom="0.75" header="0.3" footer="0.3"/>
  <pageSetup scale="81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stopIfTrue="1" id="{F64B5C07-F764-4714-80A1-EF9C5149E02F}">
            <xm:f>'\Users\mkabler\OneDrive - Johnson Gage and Inspection, Inc\Documents\Server\disk 1\Users\johnny\Documents\Current Excel Docs\2014 Gage Block Cals\[GB1214H SET 8 LIGHTBLUE WITH DOT.xlsx]Tolerances'!#REF!&lt;&gt;"Y"</xm:f>
            <x14:dxf>
              <font>
                <color auto="1"/>
              </font>
            </x14:dxf>
          </x14:cfRule>
          <x14:cfRule type="cellIs" priority="12" operator="notBetween" id="{C21F4212-A64E-43E4-B689-5857912EC863}">
            <xm:f>'\Users\mkabler\OneDrive - Johnson Gage and Inspection, Inc\Documents\Server\disk 1\Users\johnny\Documents\Current Excel Docs\2014 Gage Block Cals\[GB1214H SET 8 LIGHTBLUE WITH DOT.xlsx]Worksheet'!#REF!</xm:f>
            <xm:f>-('\Users\mkabler\OneDrive - Johnson Gage and Inspection, Inc\Documents\Server\disk 1\Users\johnny\Documents\Current Excel Docs\2014 Gage Block Cals\[GB1214H SET 8 LIGHTBLUE WITH DOT.xlsx]Worksheet'!#REF!)</xm:f>
            <x14:dxf>
              <font>
                <color rgb="FFFF0000"/>
              </font>
            </x14:dxf>
          </x14:cfRule>
          <xm:sqref>D6:D47</xm:sqref>
        </x14:conditionalFormatting>
        <x14:conditionalFormatting xmlns:xm="http://schemas.microsoft.com/office/excel/2006/main">
          <x14:cfRule type="expression" priority="3" stopIfTrue="1" id="{4D3861C4-ED3B-423E-BA12-E8D03C27487B}">
            <xm:f>'\Users\mkabler\OneDrive - Johnson Gage and Inspection, Inc\Documents\Server\disk 1\Users\johnny\Documents\Current Excel Docs\2014 Gage Block Cals\[GB1214H SET 8 LIGHTBLUE WITH DOT.xlsx]Tolerances'!#REF!&lt;&gt;"Y"</xm:f>
            <x14:dxf>
              <font>
                <color auto="1"/>
              </font>
            </x14:dxf>
          </x14:cfRule>
          <x14:cfRule type="cellIs" priority="4" operator="notBetween" id="{7CA6D9AE-82DE-44B2-9E0D-FD0C96F71DB5}">
            <xm:f>'\Users\mkabler\OneDrive - Johnson Gage and Inspection, Inc\Documents\Server\disk 1\Users\johnny\Documents\Current Excel Docs\2014 Gage Block Cals\[GB1214H SET 8 LIGHTBLUE WITH DOT.xlsx]Worksheet'!#REF!</xm:f>
            <xm:f>-('\Users\mkabler\OneDrive - Johnson Gage and Inspection, Inc\Documents\Server\disk 1\Users\johnny\Documents\Current Excel Docs\2014 Gage Block Cals\[GB1214H SET 8 LIGHTBLUE WITH DOT.xlsx]Worksheet'!#REF!)</xm:f>
            <x14:dxf>
              <font>
                <color rgb="FFFF0000"/>
              </font>
            </x14:dxf>
          </x14:cfRule>
          <xm:sqref>D49:D56</xm:sqref>
        </x14:conditionalFormatting>
        <x14:conditionalFormatting xmlns:xm="http://schemas.microsoft.com/office/excel/2006/main">
          <x14:cfRule type="expression" priority="9" stopIfTrue="1" id="{2576EC76-55B2-44C2-A870-677BA169D586}">
            <xm:f>'\Users\mkabler\OneDrive - Johnson Gage and Inspection, Inc\Documents\Server\disk 1\Users\johnny\Documents\Current Excel Docs\2014 Gage Block Cals\[GB1214H SET 8 LIGHTBLUE WITH DOT.xlsx]Tolerances'!#REF!&lt;&gt;"Y"</xm:f>
            <x14:dxf/>
          </x14:cfRule>
          <x14:cfRule type="cellIs" priority="10" operator="notBetween" id="{2F83439F-96EC-4F17-B1F9-D729D94C6A06}">
            <xm:f>'\Users\mkabler\OneDrive - Johnson Gage and Inspection, Inc\Documents\Server\disk 1\Users\johnny\Documents\Current Excel Docs\2014 Gage Block Cals\[GB1214H SET 8 LIGHTBLUE WITH DOT.xlsx]Worksheet'!#REF!</xm:f>
            <xm:f>-('\Users\mkabler\OneDrive - Johnson Gage and Inspection, Inc\Documents\Server\disk 1\Users\johnny\Documents\Current Excel Docs\2014 Gage Block Cals\[GB1214H SET 8 LIGHTBLUE WITH DOT.xlsx]Worksheet'!#REF!)</xm:f>
            <x14:dxf>
              <font>
                <color rgb="FFFF0000"/>
              </font>
            </x14:dxf>
          </x14:cfRule>
          <xm:sqref>E47</xm:sqref>
        </x14:conditionalFormatting>
        <x14:conditionalFormatting xmlns:xm="http://schemas.microsoft.com/office/excel/2006/main">
          <x14:cfRule type="expression" priority="1" stopIfTrue="1" id="{F945BDAF-2BC2-4A97-B015-57FBAB3985EC}">
            <xm:f>'\Users\mkabler\OneDrive - Johnson Gage and Inspection, Inc\Documents\Server\disk 1\Users\johnny\Documents\Current Excel Docs\2014 Gage Block Cals\[GB1214H SET 8 LIGHTBLUE WITH DOT.xlsx]Tolerances'!#REF!&lt;&gt;"Y"</xm:f>
            <x14:dxf/>
          </x14:cfRule>
          <x14:cfRule type="cellIs" priority="2" operator="notBetween" id="{2657FECC-E6A2-4582-B03E-CFF6B27BBCC6}">
            <xm:f>'\Users\mkabler\OneDrive - Johnson Gage and Inspection, Inc\Documents\Server\disk 1\Users\johnny\Documents\Current Excel Docs\2014 Gage Block Cals\[GB1214H SET 8 LIGHTBLUE WITH DOT.xlsx]Worksheet'!#REF!</xm:f>
            <xm:f>-('\Users\mkabler\OneDrive - Johnson Gage and Inspection, Inc\Documents\Server\disk 1\Users\johnny\Documents\Current Excel Docs\2014 Gage Block Cals\[GB1214H SET 8 LIGHTBLUE WITH DOT.xlsx]Worksheet'!#REF!)</xm:f>
            <x14:dxf>
              <font>
                <color rgb="FFFF0000"/>
              </font>
            </x14:dxf>
          </x14:cfRule>
          <xm:sqref>E49:E56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calculator</vt:lpstr>
      <vt:lpstr>TMTF3 no comps</vt:lpstr>
      <vt:lpstr>Raw Data, 2022</vt:lpstr>
      <vt:lpstr>CTE Determination</vt:lpstr>
      <vt:lpstr>Software Validation</vt:lpstr>
      <vt:lpstr>Datasheet for TMTF cert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Johnny Vogt</dc:creator>
  <cp:keywords/>
  <dc:description/>
  <cp:lastModifiedBy>Jeff Hall</cp:lastModifiedBy>
  <cp:revision/>
  <dcterms:created xsi:type="dcterms:W3CDTF">2015-12-30T17:22:37Z</dcterms:created>
  <dcterms:modified xsi:type="dcterms:W3CDTF">2025-02-10T03:36:59Z</dcterms:modified>
  <cp:category/>
  <cp:contentStatus/>
</cp:coreProperties>
</file>